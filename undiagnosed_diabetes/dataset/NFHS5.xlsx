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2_Statewise_Prevalence" sheetId="1" state="visible" r:id="rId3"/>
    <sheet name="S5_Proportion_Undiagnosed" sheetId="2" state="visible" r:id="rId4"/>
    <sheet name="S4_Age_Education_Wealth" sheetId="3" state="visible" r:id="rId5"/>
    <sheet name="S4_Access_Comorbidity" sheetId="4" state="visible" r:id="rId6"/>
    <sheet name="S4_Regional_BMI" sheetId="5" state="visible" r:id="rId7"/>
    <sheet name="S3_With_Healthcare_Acces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<sst xmlns="http://schemas.openxmlformats.org/spreadsheetml/2006/main" count="488" uniqueCount="331">
  <si>
    <t xml:space="preserve">Table S2: Undiagnosed Diabetes Prevalence Rate Among Indian States (NFHS-5 2019–21)</t>
  </si>
  <si>
    <t xml:space="preserve">State/UT</t>
  </si>
  <si>
    <t xml:space="preserve">Male PR</t>
  </si>
  <si>
    <t xml:space="preserve">Male 95% CI</t>
  </si>
  <si>
    <t xml:space="preserve">Female PR</t>
  </si>
  <si>
    <t xml:space="preserve">Female 95% CI</t>
  </si>
  <si>
    <t xml:space="preserve">Notebook Male PR</t>
  </si>
  <si>
    <t xml:space="preserve">Match?</t>
  </si>
  <si>
    <t xml:space="preserve">Andaman &amp; Nicobar Islands</t>
  </si>
  <si>
    <t xml:space="preserve">[.0066,.042]</t>
  </si>
  <si>
    <t xml:space="preserve">[.0075,.0228]</t>
  </si>
  <si>
    <t xml:space="preserve">Not in notebook</t>
  </si>
  <si>
    <t xml:space="preserve">—</t>
  </si>
  <si>
    <t xml:space="preserve">Andhra Pradesh</t>
  </si>
  <si>
    <t xml:space="preserve">[.0187,.0385]</t>
  </si>
  <si>
    <t xml:space="preserve">[.0184,.0244]</t>
  </si>
  <si>
    <t xml:space="preserve">✅</t>
  </si>
  <si>
    <t xml:space="preserve">Arunachal Pradesh</t>
  </si>
  <si>
    <t xml:space="preserve">[.0065,.0179]</t>
  </si>
  <si>
    <t xml:space="preserve">[.0042,.0067]</t>
  </si>
  <si>
    <t xml:space="preserve">Assam</t>
  </si>
  <si>
    <t xml:space="preserve">[.0077,.0177]</t>
  </si>
  <si>
    <t xml:space="preserve">[.0055,.0078]</t>
  </si>
  <si>
    <t xml:space="preserve">Bihar</t>
  </si>
  <si>
    <t xml:space="preserve">[.0087,.0159]</t>
  </si>
  <si>
    <t xml:space="preserve">[.0110,.0140]</t>
  </si>
  <si>
    <t xml:space="preserve">Chandigarh</t>
  </si>
  <si>
    <t xml:space="preserve">[.0061,.1078]</t>
  </si>
  <si>
    <t xml:space="preserve">[.0110,.0323]</t>
  </si>
  <si>
    <t xml:space="preserve">Chhattisgarh</t>
  </si>
  <si>
    <t xml:space="preserve">[.0124,.0227]</t>
  </si>
  <si>
    <t xml:space="preserve">[.0073,.0104]</t>
  </si>
  <si>
    <t xml:space="preserve">Dadra &amp; Nagar Haveli &amp; DD</t>
  </si>
  <si>
    <t xml:space="preserve">[.0308,.0769]</t>
  </si>
  <si>
    <t xml:space="preserve">[.0092,.0225]</t>
  </si>
  <si>
    <t xml:space="preserve">Delhi</t>
  </si>
  <si>
    <t xml:space="preserve">[.0101,.0275]</t>
  </si>
  <si>
    <t xml:space="preserve">[.0068,.0106]</t>
  </si>
  <si>
    <t xml:space="preserve">Goa</t>
  </si>
  <si>
    <t xml:space="preserve">[.0163,.0599]</t>
  </si>
  <si>
    <t xml:space="preserve">[.0031,.0115]</t>
  </si>
  <si>
    <t xml:space="preserve">Gujarat</t>
  </si>
  <si>
    <t xml:space="preserve">[.0130,.0222]</t>
  </si>
  <si>
    <t xml:space="preserve">[.0098,.0128]</t>
  </si>
  <si>
    <t xml:space="preserve">Haryana</t>
  </si>
  <si>
    <t xml:space="preserve">[.0076,.0162]</t>
  </si>
  <si>
    <t xml:space="preserve">[.0070,.0101]</t>
  </si>
  <si>
    <t xml:space="preserve">Himachal Pradesh</t>
  </si>
  <si>
    <t xml:space="preserve">[.0061,.0203]</t>
  </si>
  <si>
    <t xml:space="preserve">[.0068,.0119]</t>
  </si>
  <si>
    <t xml:space="preserve">Jammu and Kashmir</t>
  </si>
  <si>
    <t xml:space="preserve">[0.0002,.0037]</t>
  </si>
  <si>
    <t xml:space="preserve">[.0020,.0040]</t>
  </si>
  <si>
    <t xml:space="preserve">Jharkhand</t>
  </si>
  <si>
    <t xml:space="preserve">[.0092,.0189]</t>
  </si>
  <si>
    <t xml:space="preserve">[.0078,.0110]</t>
  </si>
  <si>
    <t xml:space="preserve">Karnataka</t>
  </si>
  <si>
    <t xml:space="preserve">[.0142,.0270]</t>
  </si>
  <si>
    <t xml:space="preserve">[.0092,.0124]</t>
  </si>
  <si>
    <t xml:space="preserve">Kerala</t>
  </si>
  <si>
    <t xml:space="preserve">[.0070,.0218]</t>
  </si>
  <si>
    <t xml:space="preserve">[.0091,.0138]</t>
  </si>
  <si>
    <t xml:space="preserve">Lakshadweep</t>
  </si>
  <si>
    <t xml:space="preserve">[.0012,.0576]</t>
  </si>
  <si>
    <t xml:space="preserve">[.0047,.0162]</t>
  </si>
  <si>
    <t xml:space="preserve">Madhya Pradesh</t>
  </si>
  <si>
    <t xml:space="preserve">[.0109,.0179]</t>
  </si>
  <si>
    <t xml:space="preserve">[.0075,.0096]</t>
  </si>
  <si>
    <t xml:space="preserve">Maharashtra</t>
  </si>
  <si>
    <t xml:space="preserve">[.0137,.0248]</t>
  </si>
  <si>
    <t xml:space="preserve">[.0142,.0184]</t>
  </si>
  <si>
    <t xml:space="preserve">Manipur</t>
  </si>
  <si>
    <t xml:space="preserve">[.0067,.0246]</t>
  </si>
  <si>
    <t xml:space="preserve">[.0088,.0150]</t>
  </si>
  <si>
    <t xml:space="preserve">Meghalaya</t>
  </si>
  <si>
    <t xml:space="preserve">[.0057,.0246]</t>
  </si>
  <si>
    <t xml:space="preserve">[.0018,.0038]</t>
  </si>
  <si>
    <t xml:space="preserve">Mizoram</t>
  </si>
  <si>
    <t xml:space="preserve">[.0027,.0129]</t>
  </si>
  <si>
    <t xml:space="preserve">[.0031,.0067]</t>
  </si>
  <si>
    <t xml:space="preserve">Nagaland</t>
  </si>
  <si>
    <t xml:space="preserve">[.0107,.0337]</t>
  </si>
  <si>
    <t xml:space="preserve">[.0120,.0203]</t>
  </si>
  <si>
    <t xml:space="preserve">Odisha</t>
  </si>
  <si>
    <t xml:space="preserve">[.0130,.0231]</t>
  </si>
  <si>
    <t xml:space="preserve">[.0083,.0110]</t>
  </si>
  <si>
    <t xml:space="preserve">Puducherry</t>
  </si>
  <si>
    <t xml:space="preserve">[.0050,.0706]</t>
  </si>
  <si>
    <t xml:space="preserve">[.0112,.0249]</t>
  </si>
  <si>
    <t xml:space="preserve">Punjab</t>
  </si>
  <si>
    <t xml:space="preserve">[.0065,.0152]</t>
  </si>
  <si>
    <t xml:space="preserve">[.0071,.0104]</t>
  </si>
  <si>
    <t xml:space="preserve">Rajasthan</t>
  </si>
  <si>
    <t xml:space="preserve">[.0051,.0110]</t>
  </si>
  <si>
    <t xml:space="preserve">[.0049,.0068]</t>
  </si>
  <si>
    <t xml:space="preserve">Sikkim</t>
  </si>
  <si>
    <t xml:space="preserve">[.0029,.0480]</t>
  </si>
  <si>
    <t xml:space="preserve">[.0015,.0065]</t>
  </si>
  <si>
    <t xml:space="preserve">Tamil Nadu</t>
  </si>
  <si>
    <t xml:space="preserve">[.0213,.0368]</t>
  </si>
  <si>
    <t xml:space="preserve">[.0224,.0272]</t>
  </si>
  <si>
    <t xml:space="preserve">Telangana</t>
  </si>
  <si>
    <t xml:space="preserve">[.0209,.0359]</t>
  </si>
  <si>
    <t xml:space="preserve">[.0195,.0248]</t>
  </si>
  <si>
    <t xml:space="preserve">Tripura</t>
  </si>
  <si>
    <t xml:space="preserve">[.0207,.0879]</t>
  </si>
  <si>
    <t xml:space="preserve">[.0112,.0186]</t>
  </si>
  <si>
    <t xml:space="preserve">Uttarakhand</t>
  </si>
  <si>
    <t xml:space="preserve">[.0054,.0212]</t>
  </si>
  <si>
    <t xml:space="preserve">[.0075,.0135]</t>
  </si>
  <si>
    <t xml:space="preserve">Uttar Pradesh</t>
  </si>
  <si>
    <t xml:space="preserve">[.0075,.0119]</t>
  </si>
  <si>
    <t xml:space="preserve">[.0072,.0088]</t>
  </si>
  <si>
    <t xml:space="preserve">West Bengal</t>
  </si>
  <si>
    <t xml:space="preserve">[.0090,.0190]</t>
  </si>
  <si>
    <t xml:space="preserve">[.0094,.0132]</t>
  </si>
  <si>
    <t xml:space="preserve">Source: Sahadevan et al. NFHS-5 (2019–21) Online Supplementary Files. Table S2. PR = Prevalence Rate. Notebook used 15 of 35 states.</t>
  </si>
  <si>
    <t xml:space="preserve">Table S5: Proportion of Undiagnosed Among Total Diabetics by Indian States (NFHS-5 2019–21)</t>
  </si>
  <si>
    <t xml:space="preserve">[.1330,.7063]</t>
  </si>
  <si>
    <t xml:space="preserve">[.1391,.3598]</t>
  </si>
  <si>
    <t xml:space="preserve">[.2255,.4385]</t>
  </si>
  <si>
    <t xml:space="preserve">[.2678,.3423]</t>
  </si>
  <si>
    <t xml:space="preserve">[.1003,.3237]</t>
  </si>
  <si>
    <t xml:space="preserve">[.0865,.1399]</t>
  </si>
  <si>
    <t xml:space="preserve">[.1653,.3337]</t>
  </si>
  <si>
    <t xml:space="preserve">[.1216,.1689]</t>
  </si>
  <si>
    <t xml:space="preserve">[.1907,.3419]</t>
  </si>
  <si>
    <t xml:space="preserve">[.2482,.3077]</t>
  </si>
  <si>
    <t xml:space="preserve">[.1281,.8560]</t>
  </si>
  <si>
    <t xml:space="preserve">[.1614,.4278]</t>
  </si>
  <si>
    <t xml:space="preserve">[.2823,.4681]</t>
  </si>
  <si>
    <t xml:space="preserve">[.2345,.3257]</t>
  </si>
  <si>
    <t xml:space="preserve">[.5035,.8526]</t>
  </si>
  <si>
    <t xml:space="preserve">[.2536,.4559]</t>
  </si>
  <si>
    <t xml:space="preserve">[.1269,.3065]</t>
  </si>
  <si>
    <t xml:space="preserve">[.1470,.2251]</t>
  </si>
  <si>
    <t xml:space="preserve">[.3389,.7958]</t>
  </si>
  <si>
    <t xml:space="preserve">[.0474,.1691]</t>
  </si>
  <si>
    <t xml:space="preserve">[.3178,.5009]</t>
  </si>
  <si>
    <t xml:space="preserve">[.2824,.3566]</t>
  </si>
  <si>
    <t xml:space="preserve">[.1677,.3220]</t>
  </si>
  <si>
    <t xml:space="preserve">[.1445,.2044]</t>
  </si>
  <si>
    <t xml:space="preserve">[.1744,.4289]</t>
  </si>
  <si>
    <t xml:space="preserve">[.1678,.2776]</t>
  </si>
  <si>
    <t xml:space="preserve">[.0057,.0943]</t>
  </si>
  <si>
    <t xml:space="preserve">[.0374,.0743]</t>
  </si>
  <si>
    <t xml:space="preserve">[.1545,.3287]</t>
  </si>
  <si>
    <t xml:space="preserve">[.2003,.2829]</t>
  </si>
  <si>
    <t xml:space="preserve">[.2736,.4718]</t>
  </si>
  <si>
    <t xml:space="preserve">[.2023,.2632]</t>
  </si>
  <si>
    <t xml:space="preserve">[.0821,.2408]</t>
  </si>
  <si>
    <t xml:space="preserve">[.1192,.1763]</t>
  </si>
  <si>
    <t xml:space="preserve">[.0214,.9028]</t>
  </si>
  <si>
    <t xml:space="preserve">[.0899,.2723]</t>
  </si>
  <si>
    <t xml:space="preserve">[.2841,.4498]</t>
  </si>
  <si>
    <t xml:space="preserve">[.2696,.3291]</t>
  </si>
  <si>
    <t xml:space="preserve">[.2507,.3985]</t>
  </si>
  <si>
    <t xml:space="preserve">[.3239,.4021]</t>
  </si>
  <si>
    <t xml:space="preserve">[.1866,.5668]</t>
  </si>
  <si>
    <t xml:space="preserve">[.2464,.3982]</t>
  </si>
  <si>
    <t xml:space="preserve">[.1420,.5090]</t>
  </si>
  <si>
    <t xml:space="preserve">[.0440,.0928]</t>
  </si>
  <si>
    <t xml:space="preserve">[.0826,.3913]</t>
  </si>
  <si>
    <t xml:space="preserve">[.0937,.2015]</t>
  </si>
  <si>
    <t xml:space="preserve">[.3364,.7311]</t>
  </si>
  <si>
    <t xml:space="preserve">[.3710,.5603]</t>
  </si>
  <si>
    <t xml:space="preserve">[.2264,.3659]</t>
  </si>
  <si>
    <t xml:space="preserve">[.1860,.2469]</t>
  </si>
  <si>
    <t xml:space="preserve">[.0570,.4715]</t>
  </si>
  <si>
    <t xml:space="preserve">[.1403,.3036]</t>
  </si>
  <si>
    <t xml:space="preserve">[.1775,.3792]</t>
  </si>
  <si>
    <t xml:space="preserve">[.1479,.2117]</t>
  </si>
  <si>
    <t xml:space="preserve">[.1854,.3321]</t>
  </si>
  <si>
    <t xml:space="preserve">[.1697,.2284]</t>
  </si>
  <si>
    <t xml:space="preserve">[.0527,.4818]</t>
  </si>
  <si>
    <t xml:space="preserve">[.0306,.1253]</t>
  </si>
  <si>
    <t xml:space="preserve">[.2556,.3861]</t>
  </si>
  <si>
    <t xml:space="preserve">[.2195,.2697]</t>
  </si>
  <si>
    <t xml:space="preserve">[.2378,.3937]</t>
  </si>
  <si>
    <t xml:space="preserve">[.3289,.4033]</t>
  </si>
  <si>
    <t xml:space="preserve">[.3067,.7512]</t>
  </si>
  <si>
    <t xml:space="preserve">[.2302,.3567]</t>
  </si>
  <si>
    <t xml:space="preserve">[.1076,.5050]</t>
  </si>
  <si>
    <t xml:space="preserve">[.1970,.3222]</t>
  </si>
  <si>
    <t xml:space="preserve">[.1844,.2792]</t>
  </si>
  <si>
    <t xml:space="preserve">[.1774,.2132]</t>
  </si>
  <si>
    <t xml:space="preserve">[.1522,.3118]</t>
  </si>
  <si>
    <t xml:space="preserve">[.1771,.2383]</t>
  </si>
  <si>
    <t xml:space="preserve">Source: Sahadevan et al. NFHS-5 (2019–21) Online Supplementary Files. Table S5. PR = Proportion (ratio). Notebook subset used % format (×100).</t>
  </si>
  <si>
    <t xml:space="preserve">Table S4: Demographic Breakdown — Age, Education &amp; Wealth (NFHS-5 2019–21)</t>
  </si>
  <si>
    <t xml:space="preserve">Age Group</t>
  </si>
  <si>
    <t xml:space="preserve">Male Undiag N</t>
  </si>
  <si>
    <t xml:space="preserve">Male Diag N</t>
  </si>
  <si>
    <t xml:space="preserve">Male Undiag %</t>
  </si>
  <si>
    <t xml:space="preserve">Female Undiag N</t>
  </si>
  <si>
    <t xml:space="preserve">Female Diag N</t>
  </si>
  <si>
    <t xml:space="preserve">Female Undiag %</t>
  </si>
  <si>
    <t xml:space="preserve">Total Undiag N</t>
  </si>
  <si>
    <t xml:space="preserve">15–24</t>
  </si>
  <si>
    <t xml:space="preserve">25–34</t>
  </si>
  <si>
    <t xml:space="preserve">35–44</t>
  </si>
  <si>
    <t xml:space="preserve">45–49</t>
  </si>
  <si>
    <t xml:space="preserve">FEMALE EDUCATION vs UNDIAGNOSED RATE</t>
  </si>
  <si>
    <t xml:space="preserve">Education Level</t>
  </si>
  <si>
    <t xml:space="preserve">F Undiag N</t>
  </si>
  <si>
    <t xml:space="preserve">F Total Diabetic N</t>
  </si>
  <si>
    <t xml:space="preserve">F Undiag Rate %</t>
  </si>
  <si>
    <t xml:space="preserve">Notebook Rate %</t>
  </si>
  <si>
    <t xml:space="preserve">No Education</t>
  </si>
  <si>
    <t xml:space="preserve">Primary</t>
  </si>
  <si>
    <t xml:space="preserve">Secondary</t>
  </si>
  <si>
    <t xml:space="preserve">Higher</t>
  </si>
  <si>
    <t xml:space="preserve">WEALTH INDEX vs UNDIAGNOSED RATE (% of total diabetics)</t>
  </si>
  <si>
    <t xml:space="preserve">Wealth Quintile</t>
  </si>
  <si>
    <t xml:space="preserve">Male Total Diab N</t>
  </si>
  <si>
    <t xml:space="preserve">Male %</t>
  </si>
  <si>
    <t xml:space="preserve">Female Total Diab N</t>
  </si>
  <si>
    <t xml:space="preserve">Female %</t>
  </si>
  <si>
    <t xml:space="preserve">Poorest</t>
  </si>
  <si>
    <t xml:space="preserve">Poorer</t>
  </si>
  <si>
    <t xml:space="preserve">Middle</t>
  </si>
  <si>
    <t xml:space="preserve">Richer</t>
  </si>
  <si>
    <t xml:space="preserve">Richest</t>
  </si>
  <si>
    <t xml:space="preserve">Source: Sahadevan et al. NFHS-5 (2019–21) Online Supplementary Files. Table S4. % columns computed via Excel formula from raw N values.</t>
  </si>
  <si>
    <t xml:space="preserve">Table S4: Healthcare Access &amp; Comorbidity Profile (NFHS-5 2019–21)</t>
  </si>
  <si>
    <t xml:space="preserve">Healthcare Access</t>
  </si>
  <si>
    <t xml:space="preserve">Group</t>
  </si>
  <si>
    <t xml:space="preserve">Undiag N</t>
  </si>
  <si>
    <t xml:space="preserve">Total Diabetic N</t>
  </si>
  <si>
    <t xml:space="preserve">Undiag Rate %</t>
  </si>
  <si>
    <t xml:space="preserve">Male — No Access</t>
  </si>
  <si>
    <t xml:space="preserve">Male — Has Access</t>
  </si>
  <si>
    <t xml:space="preserve">Female — No Access</t>
  </si>
  <si>
    <t xml:space="preserve">Female — Has Access</t>
  </si>
  <si>
    <t xml:space="preserve">COMORBIDITY PROFILE: Undiagnosed vs Diagnosed</t>
  </si>
  <si>
    <t xml:space="preserve">No Comorbidity %</t>
  </si>
  <si>
    <t xml:space="preserve">One Comorbidity %</t>
  </si>
  <si>
    <t xml:space="preserve">Multiple %</t>
  </si>
  <si>
    <t xml:space="preserve">Undiagnosed (Male)</t>
  </si>
  <si>
    <t xml:space="preserve">Diagnosed (Male)</t>
  </si>
  <si>
    <t xml:space="preserve">Undiagnosed (Female)</t>
  </si>
  <si>
    <t xml:space="preserve">Diagnosed (Female)</t>
  </si>
  <si>
    <t xml:space="preserve">Source: Sahadevan et al. NFHS-5 (2019–21) Online Supplementary Files. Table S4. Rates computed via Excel formula from raw N counts where applicable.</t>
  </si>
  <si>
    <t xml:space="preserve">Table S4: Regional Undiagnosed Rate &amp; BMI Distribution (NFHS-5 2019–21)</t>
  </si>
  <si>
    <t xml:space="preserve">Region</t>
  </si>
  <si>
    <t xml:space="preserve">Notebook %</t>
  </si>
  <si>
    <t xml:space="preserve">North</t>
  </si>
  <si>
    <t xml:space="preserve">Central</t>
  </si>
  <si>
    <t xml:space="preserve">East</t>
  </si>
  <si>
    <t xml:space="preserve">Northeast</t>
  </si>
  <si>
    <t xml:space="preserve">West</t>
  </si>
  <si>
    <t xml:space="preserve">South</t>
  </si>
  <si>
    <t xml:space="preserve">BMI DISTRIBUTION AMONG UNDIAGNOSED (% of undiagnosed cases)</t>
  </si>
  <si>
    <t xml:space="preserve">BMI Category</t>
  </si>
  <si>
    <t xml:space="preserve">Underweight (&lt;18.5)</t>
  </si>
  <si>
    <t xml:space="preserve">Normal (18.5–23)</t>
  </si>
  <si>
    <t xml:space="preserve">Overweight (23–25)</t>
  </si>
  <si>
    <t xml:space="preserve">Obese I (25–30)</t>
  </si>
  <si>
    <t xml:space="preserve">Obese II (≥30)</t>
  </si>
  <si>
    <t xml:space="preserve">Source: Sahadevan et al. NFHS-5 (2019–21) Online Supplementary Files. Table S4. BMI % = share of undiagnosed group, not rate among all. Notebook values match PDF.</t>
  </si>
  <si>
    <t xml:space="preserve">Table S3: Undiagnosed Diabetes Prevalence — Participants With Healthcare Access (NFHS-5 2019–21)</t>
  </si>
  <si>
    <t xml:space="preserve">[.0020,.1067]</t>
  </si>
  <si>
    <t xml:space="preserve">[.0058,.0256]</t>
  </si>
  <si>
    <t xml:space="preserve">[.0186,.0376]</t>
  </si>
  <si>
    <t xml:space="preserve">[.0181,.0251]</t>
  </si>
  <si>
    <t xml:space="preserve">[.0077,.0278]</t>
  </si>
  <si>
    <t xml:space="preserve">[.0035,.0073]</t>
  </si>
  <si>
    <t xml:space="preserve">[.0061,.0148]</t>
  </si>
  <si>
    <t xml:space="preserve">[.0058,.0087]</t>
  </si>
  <si>
    <t xml:space="preserve">[.0088,.0219]</t>
  </si>
  <si>
    <t xml:space="preserve">[.0101,.0148]</t>
  </si>
  <si>
    <t xml:space="preserve">[.0032,.1851]</t>
  </si>
  <si>
    <t xml:space="preserve">[.0075,.0508]</t>
  </si>
  <si>
    <t xml:space="preserve">[.0114,.0238]</t>
  </si>
  <si>
    <t xml:space="preserve">[.0078,.0120]</t>
  </si>
  <si>
    <t xml:space="preserve">[.0286,.0943]</t>
  </si>
  <si>
    <t xml:space="preserve">[.0097,.0276]</t>
  </si>
  <si>
    <t xml:space="preserve">[.0081,.0380]</t>
  </si>
  <si>
    <t xml:space="preserve">[.0048,.0102]</t>
  </si>
  <si>
    <t xml:space="preserve">[.0172,.0675]</t>
  </si>
  <si>
    <t xml:space="preserve">[.0031,.0135]</t>
  </si>
  <si>
    <t xml:space="preserve">[.0113,.0223]</t>
  </si>
  <si>
    <t xml:space="preserve">[.0096,.0142]</t>
  </si>
  <si>
    <t xml:space="preserve">[.0057,.0197]</t>
  </si>
  <si>
    <t xml:space="preserve">[.0060,.0113]</t>
  </si>
  <si>
    <t xml:space="preserve">[.0090,.0391]</t>
  </si>
  <si>
    <t xml:space="preserve">[.0053,.0143]</t>
  </si>
  <si>
    <t xml:space="preserve">[.0012,.0045]</t>
  </si>
  <si>
    <t xml:space="preserve">[.0104,.0250]</t>
  </si>
  <si>
    <t xml:space="preserve">[.0079,.0119]</t>
  </si>
  <si>
    <t xml:space="preserve">[.0117,.0305]</t>
  </si>
  <si>
    <t xml:space="preserve">[.0094,.0146]</t>
  </si>
  <si>
    <t xml:space="preserve">[.0089,.0295]</t>
  </si>
  <si>
    <t xml:space="preserve">[.0089,.0145]</t>
  </si>
  <si>
    <t xml:space="preserve">[.0022,.0906]</t>
  </si>
  <si>
    <t xml:space="preserve">[.0061,.0207]</t>
  </si>
  <si>
    <t xml:space="preserve">[.0113,.0219]</t>
  </si>
  <si>
    <t xml:space="preserve">[.0071,.0103]</t>
  </si>
  <si>
    <t xml:space="preserve">[.0127,.0319]</t>
  </si>
  <si>
    <t xml:space="preserve">[.0139,.0215]</t>
  </si>
  <si>
    <t xml:space="preserve">[.0042,.0395]</t>
  </si>
  <si>
    <t xml:space="preserve">[.0083,.0203]</t>
  </si>
  <si>
    <t xml:space="preserve">[.0056,.0310]</t>
  </si>
  <si>
    <t xml:space="preserve">[.0022,.0050]</t>
  </si>
  <si>
    <t xml:space="preserve">[0.00078,.0125]</t>
  </si>
  <si>
    <t xml:space="preserve">[.0031,.0068]</t>
  </si>
  <si>
    <t xml:space="preserve">[.0034,.0242]</t>
  </si>
  <si>
    <t xml:space="preserve">[.0126,.0327]</t>
  </si>
  <si>
    <t xml:space="preserve">[.0120,.0247]</t>
  </si>
  <si>
    <t xml:space="preserve">[.0085,.0123]</t>
  </si>
  <si>
    <t xml:space="preserve">[.0022,.1018]</t>
  </si>
  <si>
    <t xml:space="preserve">[.0076,.0365]</t>
  </si>
  <si>
    <t xml:space="preserve">[.0052,.0200]</t>
  </si>
  <si>
    <t xml:space="preserve">[.0073,.0139]</t>
  </si>
  <si>
    <t xml:space="preserve">[.0054,.0118]</t>
  </si>
  <si>
    <t xml:space="preserve">[.0051,.0071]</t>
  </si>
  <si>
    <t xml:space="preserve">[.0019,.1215]</t>
  </si>
  <si>
    <t xml:space="preserve">[.0019,.0146]</t>
  </si>
  <si>
    <t xml:space="preserve">[.0179,.0369]</t>
  </si>
  <si>
    <t xml:space="preserve">[.0224,.0291]</t>
  </si>
  <si>
    <t xml:space="preserve">[.0209,.0350]</t>
  </si>
  <si>
    <t xml:space="preserve">[.0211,.0276]</t>
  </si>
  <si>
    <t xml:space="preserve">[.0190,.0609]</t>
  </si>
  <si>
    <t xml:space="preserve">[.0105,.0191]</t>
  </si>
  <si>
    <t xml:space="preserve">[.0050,.0258]</t>
  </si>
  <si>
    <t xml:space="preserve">[.0059,.0115]</t>
  </si>
  <si>
    <t xml:space="preserve">[.0064,.0140]</t>
  </si>
  <si>
    <t xml:space="preserve">[.0066,.0093]</t>
  </si>
  <si>
    <t xml:space="preserve">[.0068,.0209]</t>
  </si>
  <si>
    <t xml:space="preserve">[.0091,.0142]</t>
  </si>
  <si>
    <t xml:space="preserve">Source: Sahadevan et al. NFHS-5 (2019–21) Online Supplementary Files. Table S3. Subset of Table S2 restricted to participants with healthcare access.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</si>
</sst>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"/>
    <numFmt numFmtId="167" formatCode="General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6.5" hidden="false" customHeight="true" outlineLevel="0" collapsed="false">
      <c r="A3" s="3" t="s">
        <v>8</v>
      </c>
      <c r="B3" s="4" t="n">
        <v>0.0167</v>
      </c>
      <c r="C3" s="3" t="s">
        <v>9</v>
      </c>
      <c r="D3" s="4" t="n">
        <v>0.0131</v>
      </c>
      <c r="E3" s="3" t="s">
        <v>10</v>
      </c>
      <c r="F3" s="5" t="s">
        <v>11</v>
      </c>
      <c r="G3" s="5" t="s">
        <v>12</v>
      </c>
    </row>
    <row r="4" customFormat="false" ht="16.5" hidden="false" customHeight="true" outlineLevel="0" collapsed="false">
      <c r="A4" s="3" t="s">
        <v>13</v>
      </c>
      <c r="B4" s="4" t="n">
        <v>0.0269</v>
      </c>
      <c r="C4" s="3" t="s">
        <v>14</v>
      </c>
      <c r="D4" s="4" t="n">
        <v>0.0212</v>
      </c>
      <c r="E4" s="3" t="s">
        <v>15</v>
      </c>
      <c r="F4" s="4" t="n">
        <v>0.0269</v>
      </c>
      <c r="G4" s="5" t="s">
        <v>16</v>
      </c>
    </row>
    <row r="5" customFormat="false" ht="16.5" hidden="false" customHeight="true" outlineLevel="0" collapsed="false">
      <c r="A5" s="3" t="s">
        <v>17</v>
      </c>
      <c r="B5" s="4" t="n">
        <v>0.0108</v>
      </c>
      <c r="C5" s="3" t="s">
        <v>18</v>
      </c>
      <c r="D5" s="4" t="n">
        <v>0.0053</v>
      </c>
      <c r="E5" s="3" t="s">
        <v>19</v>
      </c>
      <c r="F5" s="5" t="s">
        <v>11</v>
      </c>
      <c r="G5" s="5" t="s">
        <v>12</v>
      </c>
    </row>
    <row r="6" customFormat="false" ht="16.5" hidden="false" customHeight="true" outlineLevel="0" collapsed="false">
      <c r="A6" s="3" t="s">
        <v>20</v>
      </c>
      <c r="B6" s="4" t="n">
        <v>0.0117</v>
      </c>
      <c r="C6" s="3" t="s">
        <v>21</v>
      </c>
      <c r="D6" s="4" t="n">
        <v>0.0066</v>
      </c>
      <c r="E6" s="3" t="s">
        <v>22</v>
      </c>
      <c r="F6" s="4" t="n">
        <v>0.0117</v>
      </c>
      <c r="G6" s="5" t="s">
        <v>16</v>
      </c>
    </row>
    <row r="7" customFormat="false" ht="16.5" hidden="false" customHeight="true" outlineLevel="0" collapsed="false">
      <c r="A7" s="3" t="s">
        <v>23</v>
      </c>
      <c r="B7" s="4" t="n">
        <v>0.0118</v>
      </c>
      <c r="C7" s="3" t="s">
        <v>24</v>
      </c>
      <c r="D7" s="4" t="n">
        <v>0.0124</v>
      </c>
      <c r="E7" s="3" t="s">
        <v>25</v>
      </c>
      <c r="F7" s="4" t="n">
        <v>0.0118</v>
      </c>
      <c r="G7" s="5" t="s">
        <v>16</v>
      </c>
    </row>
    <row r="8" customFormat="false" ht="16.5" hidden="false" customHeight="true" outlineLevel="0" collapsed="false">
      <c r="A8" s="3" t="s">
        <v>26</v>
      </c>
      <c r="B8" s="4" t="n">
        <v>0.0266</v>
      </c>
      <c r="C8" s="3" t="s">
        <v>27</v>
      </c>
      <c r="D8" s="4" t="n">
        <v>0.0189</v>
      </c>
      <c r="E8" s="3" t="s">
        <v>28</v>
      </c>
      <c r="F8" s="5" t="s">
        <v>11</v>
      </c>
      <c r="G8" s="5" t="s">
        <v>12</v>
      </c>
    </row>
    <row r="9" customFormat="false" ht="16.5" hidden="false" customHeight="true" outlineLevel="0" collapsed="false">
      <c r="A9" s="3" t="s">
        <v>29</v>
      </c>
      <c r="B9" s="4" t="n">
        <v>0.0168</v>
      </c>
      <c r="C9" s="3" t="s">
        <v>30</v>
      </c>
      <c r="D9" s="4" t="n">
        <v>0.0087</v>
      </c>
      <c r="E9" s="3" t="s">
        <v>31</v>
      </c>
      <c r="F9" s="5" t="s">
        <v>11</v>
      </c>
      <c r="G9" s="5" t="s">
        <v>12</v>
      </c>
    </row>
    <row r="10" customFormat="false" ht="16.5" hidden="false" customHeight="true" outlineLevel="0" collapsed="false">
      <c r="A10" s="3" t="s">
        <v>32</v>
      </c>
      <c r="B10" s="4" t="n">
        <v>0.049</v>
      </c>
      <c r="C10" s="3" t="s">
        <v>33</v>
      </c>
      <c r="D10" s="4" t="n">
        <v>0.0144</v>
      </c>
      <c r="E10" s="3" t="s">
        <v>34</v>
      </c>
      <c r="F10" s="5" t="s">
        <v>11</v>
      </c>
      <c r="G10" s="5" t="s">
        <v>12</v>
      </c>
    </row>
    <row r="11" customFormat="false" ht="16.5" hidden="false" customHeight="true" outlineLevel="0" collapsed="false">
      <c r="A11" s="3" t="s">
        <v>35</v>
      </c>
      <c r="B11" s="4" t="n">
        <v>0.0167</v>
      </c>
      <c r="C11" s="3" t="s">
        <v>36</v>
      </c>
      <c r="D11" s="4" t="n">
        <v>0.0085</v>
      </c>
      <c r="E11" s="3" t="s">
        <v>37</v>
      </c>
      <c r="F11" s="5" t="s">
        <v>11</v>
      </c>
      <c r="G11" s="5" t="s">
        <v>12</v>
      </c>
    </row>
    <row r="12" customFormat="false" ht="16.5" hidden="false" customHeight="true" outlineLevel="0" collapsed="false">
      <c r="A12" s="3" t="s">
        <v>38</v>
      </c>
      <c r="B12" s="4" t="n">
        <v>0.0315</v>
      </c>
      <c r="C12" s="3" t="s">
        <v>39</v>
      </c>
      <c r="D12" s="4" t="n">
        <v>0.006</v>
      </c>
      <c r="E12" s="3" t="s">
        <v>40</v>
      </c>
      <c r="F12" s="4" t="n">
        <v>0.0315</v>
      </c>
      <c r="G12" s="5" t="s">
        <v>16</v>
      </c>
    </row>
    <row r="13" customFormat="false" ht="16.5" hidden="false" customHeight="true" outlineLevel="0" collapsed="false">
      <c r="A13" s="3" t="s">
        <v>41</v>
      </c>
      <c r="B13" s="4" t="n">
        <v>0.017</v>
      </c>
      <c r="C13" s="3" t="s">
        <v>42</v>
      </c>
      <c r="D13" s="4" t="n">
        <v>0.0112</v>
      </c>
      <c r="E13" s="3" t="s">
        <v>43</v>
      </c>
      <c r="F13" s="5" t="s">
        <v>11</v>
      </c>
      <c r="G13" s="5" t="s">
        <v>12</v>
      </c>
    </row>
    <row r="14" customFormat="false" ht="16.5" hidden="false" customHeight="true" outlineLevel="0" collapsed="false">
      <c r="A14" s="3" t="s">
        <v>44</v>
      </c>
      <c r="B14" s="4" t="n">
        <v>0.0111</v>
      </c>
      <c r="C14" s="3" t="s">
        <v>45</v>
      </c>
      <c r="D14" s="4" t="n">
        <v>0.0084</v>
      </c>
      <c r="E14" s="3" t="s">
        <v>46</v>
      </c>
      <c r="F14" s="5" t="s">
        <v>11</v>
      </c>
      <c r="G14" s="5" t="s">
        <v>12</v>
      </c>
    </row>
    <row r="15" customFormat="false" ht="16.5" hidden="false" customHeight="true" outlineLevel="0" collapsed="false">
      <c r="A15" s="3" t="s">
        <v>47</v>
      </c>
      <c r="B15" s="4" t="n">
        <v>0.0112</v>
      </c>
      <c r="C15" s="3" t="s">
        <v>48</v>
      </c>
      <c r="D15" s="4" t="n">
        <v>0.009</v>
      </c>
      <c r="E15" s="3" t="s">
        <v>49</v>
      </c>
      <c r="F15" s="5" t="s">
        <v>11</v>
      </c>
      <c r="G15" s="5" t="s">
        <v>12</v>
      </c>
    </row>
    <row r="16" customFormat="false" ht="16.5" hidden="false" customHeight="true" outlineLevel="0" collapsed="false">
      <c r="A16" s="3" t="s">
        <v>50</v>
      </c>
      <c r="B16" s="4" t="n">
        <v>0.00087</v>
      </c>
      <c r="C16" s="3" t="s">
        <v>51</v>
      </c>
      <c r="D16" s="4" t="n">
        <v>0.0028</v>
      </c>
      <c r="E16" s="3" t="s">
        <v>52</v>
      </c>
      <c r="F16" s="4" t="n">
        <v>0.00087</v>
      </c>
      <c r="G16" s="5" t="s">
        <v>16</v>
      </c>
    </row>
    <row r="17" customFormat="false" ht="16.5" hidden="false" customHeight="true" outlineLevel="0" collapsed="false">
      <c r="A17" s="3" t="s">
        <v>53</v>
      </c>
      <c r="B17" s="4" t="n">
        <v>0.0132</v>
      </c>
      <c r="C17" s="3" t="s">
        <v>54</v>
      </c>
      <c r="D17" s="4" t="n">
        <v>0.0093</v>
      </c>
      <c r="E17" s="3" t="s">
        <v>55</v>
      </c>
      <c r="F17" s="4" t="n">
        <v>0.0132</v>
      </c>
      <c r="G17" s="5" t="s">
        <v>16</v>
      </c>
    </row>
    <row r="18" customFormat="false" ht="16.5" hidden="false" customHeight="true" outlineLevel="0" collapsed="false">
      <c r="A18" s="3" t="s">
        <v>56</v>
      </c>
      <c r="B18" s="4" t="n">
        <v>0.0196</v>
      </c>
      <c r="C18" s="3" t="s">
        <v>57</v>
      </c>
      <c r="D18" s="4" t="n">
        <v>0.0107</v>
      </c>
      <c r="E18" s="3" t="s">
        <v>58</v>
      </c>
      <c r="F18" s="4" t="n">
        <v>0.0196</v>
      </c>
      <c r="G18" s="5" t="s">
        <v>16</v>
      </c>
    </row>
    <row r="19" customFormat="false" ht="16.5" hidden="false" customHeight="true" outlineLevel="0" collapsed="false">
      <c r="A19" s="3" t="s">
        <v>59</v>
      </c>
      <c r="B19" s="4" t="n">
        <v>0.0124</v>
      </c>
      <c r="C19" s="3" t="s">
        <v>60</v>
      </c>
      <c r="D19" s="4" t="n">
        <v>0.0112</v>
      </c>
      <c r="E19" s="3" t="s">
        <v>61</v>
      </c>
      <c r="F19" s="5" t="s">
        <v>11</v>
      </c>
      <c r="G19" s="5" t="s">
        <v>12</v>
      </c>
    </row>
    <row r="20" customFormat="false" ht="16.5" hidden="false" customHeight="true" outlineLevel="0" collapsed="false">
      <c r="A20" s="3" t="s">
        <v>62</v>
      </c>
      <c r="B20" s="4" t="n">
        <v>0.0085</v>
      </c>
      <c r="C20" s="3" t="s">
        <v>63</v>
      </c>
      <c r="D20" s="4" t="n">
        <v>0.0087</v>
      </c>
      <c r="E20" s="3" t="s">
        <v>64</v>
      </c>
      <c r="F20" s="5" t="s">
        <v>11</v>
      </c>
      <c r="G20" s="5" t="s">
        <v>12</v>
      </c>
    </row>
    <row r="21" customFormat="false" ht="16.5" hidden="false" customHeight="true" outlineLevel="0" collapsed="false">
      <c r="A21" s="3" t="s">
        <v>65</v>
      </c>
      <c r="B21" s="4" t="n">
        <v>0.014</v>
      </c>
      <c r="C21" s="3" t="s">
        <v>66</v>
      </c>
      <c r="D21" s="4" t="n">
        <v>0.0085</v>
      </c>
      <c r="E21" s="3" t="s">
        <v>67</v>
      </c>
      <c r="F21" s="5" t="s">
        <v>11</v>
      </c>
      <c r="G21" s="5" t="s">
        <v>12</v>
      </c>
    </row>
    <row r="22" customFormat="false" ht="16.5" hidden="false" customHeight="true" outlineLevel="0" collapsed="false">
      <c r="A22" s="3" t="s">
        <v>68</v>
      </c>
      <c r="B22" s="4" t="n">
        <v>0.0185</v>
      </c>
      <c r="C22" s="3" t="s">
        <v>69</v>
      </c>
      <c r="D22" s="4" t="n">
        <v>0.0162</v>
      </c>
      <c r="E22" s="3" t="s">
        <v>70</v>
      </c>
      <c r="F22" s="4" t="n">
        <v>0.0185</v>
      </c>
      <c r="G22" s="5" t="s">
        <v>16</v>
      </c>
    </row>
    <row r="23" customFormat="false" ht="16.5" hidden="false" customHeight="true" outlineLevel="0" collapsed="false">
      <c r="A23" s="3" t="s">
        <v>71</v>
      </c>
      <c r="B23" s="4" t="n">
        <v>0.0129</v>
      </c>
      <c r="C23" s="3" t="s">
        <v>72</v>
      </c>
      <c r="D23" s="4" t="n">
        <v>0.0115</v>
      </c>
      <c r="E23" s="3" t="s">
        <v>73</v>
      </c>
      <c r="F23" s="5" t="s">
        <v>11</v>
      </c>
      <c r="G23" s="5" t="s">
        <v>12</v>
      </c>
    </row>
    <row r="24" customFormat="false" ht="16.5" hidden="false" customHeight="true" outlineLevel="0" collapsed="false">
      <c r="A24" s="3" t="s">
        <v>74</v>
      </c>
      <c r="B24" s="4" t="n">
        <v>0.0118</v>
      </c>
      <c r="C24" s="3" t="s">
        <v>75</v>
      </c>
      <c r="D24" s="4" t="n">
        <v>0.0026</v>
      </c>
      <c r="E24" s="3" t="s">
        <v>76</v>
      </c>
      <c r="F24" s="5" t="s">
        <v>11</v>
      </c>
      <c r="G24" s="5" t="s">
        <v>12</v>
      </c>
    </row>
    <row r="25" customFormat="false" ht="16.5" hidden="false" customHeight="true" outlineLevel="0" collapsed="false">
      <c r="A25" s="3" t="s">
        <v>77</v>
      </c>
      <c r="B25" s="4" t="n">
        <v>0.0059</v>
      </c>
      <c r="C25" s="3" t="s">
        <v>78</v>
      </c>
      <c r="D25" s="4" t="n">
        <v>0.0046</v>
      </c>
      <c r="E25" s="3" t="s">
        <v>79</v>
      </c>
      <c r="F25" s="5" t="s">
        <v>11</v>
      </c>
      <c r="G25" s="5" t="s">
        <v>12</v>
      </c>
    </row>
    <row r="26" customFormat="false" ht="16.5" hidden="false" customHeight="true" outlineLevel="0" collapsed="false">
      <c r="A26" s="3" t="s">
        <v>80</v>
      </c>
      <c r="B26" s="4" t="n">
        <v>0.019</v>
      </c>
      <c r="C26" s="3" t="s">
        <v>81</v>
      </c>
      <c r="D26" s="4" t="n">
        <v>0.0156</v>
      </c>
      <c r="E26" s="3" t="s">
        <v>82</v>
      </c>
      <c r="F26" s="5" t="s">
        <v>11</v>
      </c>
      <c r="G26" s="5" t="s">
        <v>12</v>
      </c>
    </row>
    <row r="27" customFormat="false" ht="16.5" hidden="false" customHeight="true" outlineLevel="0" collapsed="false">
      <c r="A27" s="3" t="s">
        <v>83</v>
      </c>
      <c r="B27" s="4" t="n">
        <v>0.0174</v>
      </c>
      <c r="C27" s="3" t="s">
        <v>84</v>
      </c>
      <c r="D27" s="4" t="n">
        <v>0.0096</v>
      </c>
      <c r="E27" s="3" t="s">
        <v>85</v>
      </c>
      <c r="F27" s="4" t="n">
        <v>0.0174</v>
      </c>
      <c r="G27" s="5" t="s">
        <v>16</v>
      </c>
    </row>
    <row r="28" customFormat="false" ht="16.5" hidden="false" customHeight="true" outlineLevel="0" collapsed="false">
      <c r="A28" s="3" t="s">
        <v>86</v>
      </c>
      <c r="B28" s="4" t="n">
        <v>0.0191</v>
      </c>
      <c r="C28" s="3" t="s">
        <v>87</v>
      </c>
      <c r="D28" s="4" t="n">
        <v>0.0167</v>
      </c>
      <c r="E28" s="3" t="s">
        <v>88</v>
      </c>
      <c r="F28" s="5" t="s">
        <v>11</v>
      </c>
      <c r="G28" s="5" t="s">
        <v>12</v>
      </c>
    </row>
    <row r="29" customFormat="false" ht="16.5" hidden="false" customHeight="true" outlineLevel="0" collapsed="false">
      <c r="A29" s="3" t="s">
        <v>89</v>
      </c>
      <c r="B29" s="4" t="n">
        <v>0.01</v>
      </c>
      <c r="C29" s="3" t="s">
        <v>90</v>
      </c>
      <c r="D29" s="4" t="n">
        <v>0.0086</v>
      </c>
      <c r="E29" s="3" t="s">
        <v>91</v>
      </c>
      <c r="F29" s="5" t="s">
        <v>11</v>
      </c>
      <c r="G29" s="5" t="s">
        <v>12</v>
      </c>
    </row>
    <row r="30" customFormat="false" ht="16.5" hidden="false" customHeight="true" outlineLevel="0" collapsed="false">
      <c r="A30" s="3" t="s">
        <v>92</v>
      </c>
      <c r="B30" s="4" t="n">
        <v>0.0075</v>
      </c>
      <c r="C30" s="3" t="s">
        <v>93</v>
      </c>
      <c r="D30" s="4" t="n">
        <v>0.0058</v>
      </c>
      <c r="E30" s="3" t="s">
        <v>94</v>
      </c>
      <c r="F30" s="4" t="n">
        <v>0.0075</v>
      </c>
      <c r="G30" s="5" t="s">
        <v>16</v>
      </c>
    </row>
    <row r="31" customFormat="false" ht="16.5" hidden="false" customHeight="true" outlineLevel="0" collapsed="false">
      <c r="A31" s="3" t="s">
        <v>95</v>
      </c>
      <c r="B31" s="4" t="n">
        <v>0.0119</v>
      </c>
      <c r="C31" s="3" t="s">
        <v>96</v>
      </c>
      <c r="D31" s="4" t="n">
        <v>0.0031</v>
      </c>
      <c r="E31" s="3" t="s">
        <v>97</v>
      </c>
      <c r="F31" s="5" t="s">
        <v>11</v>
      </c>
      <c r="G31" s="5" t="s">
        <v>12</v>
      </c>
    </row>
    <row r="32" customFormat="false" ht="16.5" hidden="false" customHeight="true" outlineLevel="0" collapsed="false">
      <c r="A32" s="3" t="s">
        <v>98</v>
      </c>
      <c r="B32" s="4" t="n">
        <v>0.028</v>
      </c>
      <c r="C32" s="3" t="s">
        <v>99</v>
      </c>
      <c r="D32" s="4" t="n">
        <v>0.0247</v>
      </c>
      <c r="E32" s="3" t="s">
        <v>100</v>
      </c>
      <c r="F32" s="4" t="n">
        <v>0.028</v>
      </c>
      <c r="G32" s="5" t="s">
        <v>16</v>
      </c>
    </row>
    <row r="33" customFormat="false" ht="16.5" hidden="false" customHeight="true" outlineLevel="0" collapsed="false">
      <c r="A33" s="3" t="s">
        <v>101</v>
      </c>
      <c r="B33" s="4" t="n">
        <v>0.0274</v>
      </c>
      <c r="C33" s="3" t="s">
        <v>102</v>
      </c>
      <c r="D33" s="4" t="n">
        <v>0.022</v>
      </c>
      <c r="E33" s="3" t="s">
        <v>103</v>
      </c>
      <c r="F33" s="4" t="n">
        <v>0.0274</v>
      </c>
      <c r="G33" s="5" t="s">
        <v>16</v>
      </c>
    </row>
    <row r="34" customFormat="false" ht="16.5" hidden="false" customHeight="true" outlineLevel="0" collapsed="false">
      <c r="A34" s="3" t="s">
        <v>104</v>
      </c>
      <c r="B34" s="4" t="n">
        <v>0.0432</v>
      </c>
      <c r="C34" s="3" t="s">
        <v>105</v>
      </c>
      <c r="D34" s="4" t="n">
        <v>0.0144</v>
      </c>
      <c r="E34" s="3" t="s">
        <v>106</v>
      </c>
      <c r="F34" s="4" t="n">
        <v>0.0432</v>
      </c>
      <c r="G34" s="5" t="s">
        <v>16</v>
      </c>
    </row>
    <row r="35" customFormat="false" ht="16.5" hidden="false" customHeight="true" outlineLevel="0" collapsed="false">
      <c r="A35" s="3" t="s">
        <v>107</v>
      </c>
      <c r="B35" s="4" t="n">
        <v>0.0108</v>
      </c>
      <c r="C35" s="3" t="s">
        <v>108</v>
      </c>
      <c r="D35" s="4" t="n">
        <v>0.0101</v>
      </c>
      <c r="E35" s="3" t="s">
        <v>109</v>
      </c>
      <c r="F35" s="5" t="s">
        <v>11</v>
      </c>
      <c r="G35" s="5" t="s">
        <v>12</v>
      </c>
    </row>
    <row r="36" customFormat="false" ht="16.5" hidden="false" customHeight="true" outlineLevel="0" collapsed="false">
      <c r="A36" s="3" t="s">
        <v>110</v>
      </c>
      <c r="B36" s="4" t="n">
        <v>0.0095</v>
      </c>
      <c r="C36" s="3" t="s">
        <v>111</v>
      </c>
      <c r="D36" s="4" t="n">
        <v>0.008</v>
      </c>
      <c r="E36" s="3" t="s">
        <v>112</v>
      </c>
      <c r="F36" s="4" t="n">
        <v>0.0095</v>
      </c>
      <c r="G36" s="5" t="s">
        <v>16</v>
      </c>
    </row>
    <row r="37" customFormat="false" ht="16.5" hidden="false" customHeight="true" outlineLevel="0" collapsed="false">
      <c r="A37" s="3" t="s">
        <v>113</v>
      </c>
      <c r="B37" s="4" t="n">
        <v>0.0131</v>
      </c>
      <c r="C37" s="3" t="s">
        <v>114</v>
      </c>
      <c r="D37" s="4" t="n">
        <v>0.0111</v>
      </c>
      <c r="E37" s="3" t="s">
        <v>115</v>
      </c>
      <c r="F37" s="4" t="n">
        <v>0.0131</v>
      </c>
      <c r="G37" s="5" t="s">
        <v>16</v>
      </c>
    </row>
    <row r="38" customFormat="false" ht="13.5" hidden="false" customHeight="true" outlineLevel="0" collapsed="false">
      <c r="A38" s="6" t="s">
        <v>116</v>
      </c>
      <c r="B38" s="6"/>
      <c r="C38" s="6"/>
      <c r="D38" s="6"/>
      <c r="E38" s="6"/>
      <c r="F38" s="6"/>
      <c r="G38" s="6"/>
    </row>
  </sheetData>
  <mergeCells count="2">
    <mergeCell ref="A1:G1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24.75" hidden="false" customHeight="true" outlineLevel="0" collapsed="false">
      <c r="A1" s="1" t="s">
        <v>117</v>
      </c>
      <c r="B1" s="1"/>
      <c r="C1" s="1"/>
      <c r="D1" s="1"/>
      <c r="E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6.5" hidden="false" customHeight="true" outlineLevel="0" collapsed="false">
      <c r="A3" s="3" t="s">
        <v>8</v>
      </c>
      <c r="B3" s="4" t="n">
        <v>0.3778</v>
      </c>
      <c r="C3" s="3" t="s">
        <v>118</v>
      </c>
      <c r="D3" s="4" t="n">
        <v>0.2315</v>
      </c>
      <c r="E3" s="3" t="s">
        <v>119</v>
      </c>
    </row>
    <row r="4" customFormat="false" ht="16.5" hidden="false" customHeight="true" outlineLevel="0" collapsed="false">
      <c r="A4" s="3" t="s">
        <v>13</v>
      </c>
      <c r="B4" s="4" t="n">
        <v>0.3229</v>
      </c>
      <c r="C4" s="3" t="s">
        <v>120</v>
      </c>
      <c r="D4" s="4" t="n">
        <v>0.3038</v>
      </c>
      <c r="E4" s="3" t="s">
        <v>121</v>
      </c>
    </row>
    <row r="5" customFormat="false" ht="16.5" hidden="false" customHeight="true" outlineLevel="0" collapsed="false">
      <c r="A5" s="3" t="s">
        <v>17</v>
      </c>
      <c r="B5" s="4" t="n">
        <v>0.1877</v>
      </c>
      <c r="C5" s="3" t="s">
        <v>122</v>
      </c>
      <c r="D5" s="4" t="n">
        <v>0.1104</v>
      </c>
      <c r="E5" s="3" t="s">
        <v>123</v>
      </c>
    </row>
    <row r="6" customFormat="false" ht="16.5" hidden="false" customHeight="true" outlineLevel="0" collapsed="false">
      <c r="A6" s="3" t="s">
        <v>20</v>
      </c>
      <c r="B6" s="4" t="n">
        <v>0.2395</v>
      </c>
      <c r="C6" s="3" t="s">
        <v>124</v>
      </c>
      <c r="D6" s="4" t="n">
        <v>0.1436</v>
      </c>
      <c r="E6" s="3" t="s">
        <v>125</v>
      </c>
    </row>
    <row r="7" customFormat="false" ht="16.5" hidden="false" customHeight="true" outlineLevel="0" collapsed="false">
      <c r="A7" s="3" t="s">
        <v>23</v>
      </c>
      <c r="B7" s="4" t="n">
        <v>0.2592</v>
      </c>
      <c r="C7" s="3" t="s">
        <v>126</v>
      </c>
      <c r="D7" s="4" t="n">
        <v>0.277</v>
      </c>
      <c r="E7" s="3" t="s">
        <v>127</v>
      </c>
    </row>
    <row r="8" customFormat="false" ht="16.5" hidden="false" customHeight="true" outlineLevel="0" collapsed="false">
      <c r="A8" s="3" t="s">
        <v>26</v>
      </c>
      <c r="B8" s="4" t="n">
        <v>0.4831</v>
      </c>
      <c r="C8" s="3" t="s">
        <v>128</v>
      </c>
      <c r="D8" s="4" t="n">
        <v>0.275</v>
      </c>
      <c r="E8" s="3" t="s">
        <v>129</v>
      </c>
    </row>
    <row r="9" customFormat="false" ht="16.5" hidden="false" customHeight="true" outlineLevel="0" collapsed="false">
      <c r="A9" s="3" t="s">
        <v>29</v>
      </c>
      <c r="B9" s="4" t="n">
        <v>0.3704</v>
      </c>
      <c r="C9" s="3" t="s">
        <v>130</v>
      </c>
      <c r="D9" s="4" t="n">
        <v>0.2778</v>
      </c>
      <c r="E9" s="3" t="s">
        <v>131</v>
      </c>
    </row>
    <row r="10" customFormat="false" ht="16.5" hidden="false" customHeight="true" outlineLevel="0" collapsed="false">
      <c r="A10" s="3" t="s">
        <v>32</v>
      </c>
      <c r="B10" s="4" t="n">
        <v>0.7078</v>
      </c>
      <c r="C10" s="3" t="s">
        <v>132</v>
      </c>
      <c r="D10" s="4" t="n">
        <v>0.3479</v>
      </c>
      <c r="E10" s="3" t="s">
        <v>133</v>
      </c>
    </row>
    <row r="11" customFormat="false" ht="16.5" hidden="false" customHeight="true" outlineLevel="0" collapsed="false">
      <c r="A11" s="3" t="s">
        <v>35</v>
      </c>
      <c r="B11" s="4" t="n">
        <v>0.2022</v>
      </c>
      <c r="C11" s="3" t="s">
        <v>134</v>
      </c>
      <c r="D11" s="4" t="n">
        <v>0.1828</v>
      </c>
      <c r="E11" s="3" t="s">
        <v>135</v>
      </c>
    </row>
    <row r="12" customFormat="false" ht="16.5" hidden="false" customHeight="true" outlineLevel="0" collapsed="false">
      <c r="A12" s="3" t="s">
        <v>38</v>
      </c>
      <c r="B12" s="4" t="n">
        <v>0.5857</v>
      </c>
      <c r="C12" s="3" t="s">
        <v>136</v>
      </c>
      <c r="D12" s="4" t="n">
        <v>0.0914</v>
      </c>
      <c r="E12" s="3" t="s">
        <v>137</v>
      </c>
    </row>
    <row r="13" customFormat="false" ht="16.5" hidden="false" customHeight="true" outlineLevel="0" collapsed="false">
      <c r="A13" s="3" t="s">
        <v>41</v>
      </c>
      <c r="B13" s="4" t="n">
        <v>0.4061</v>
      </c>
      <c r="C13" s="3" t="s">
        <v>138</v>
      </c>
      <c r="D13" s="4" t="n">
        <v>0.3184</v>
      </c>
      <c r="E13" s="3" t="s">
        <v>139</v>
      </c>
    </row>
    <row r="14" customFormat="false" ht="16.5" hidden="false" customHeight="true" outlineLevel="0" collapsed="false">
      <c r="A14" s="3" t="s">
        <v>44</v>
      </c>
      <c r="B14" s="4" t="n">
        <v>0.2363</v>
      </c>
      <c r="C14" s="3" t="s">
        <v>140</v>
      </c>
      <c r="D14" s="4" t="n">
        <v>0.1724</v>
      </c>
      <c r="E14" s="3" t="s">
        <v>141</v>
      </c>
    </row>
    <row r="15" customFormat="false" ht="16.5" hidden="false" customHeight="true" outlineLevel="0" collapsed="false">
      <c r="A15" s="3" t="s">
        <v>47</v>
      </c>
      <c r="B15" s="4" t="n">
        <v>0.2849</v>
      </c>
      <c r="C15" s="3" t="s">
        <v>142</v>
      </c>
      <c r="D15" s="4" t="n">
        <v>0.2177</v>
      </c>
      <c r="E15" s="3" t="s">
        <v>143</v>
      </c>
    </row>
    <row r="16" customFormat="false" ht="16.5" hidden="false" customHeight="true" outlineLevel="0" collapsed="false">
      <c r="A16" s="3" t="s">
        <v>50</v>
      </c>
      <c r="B16" s="4" t="n">
        <v>0.0239</v>
      </c>
      <c r="C16" s="3" t="s">
        <v>144</v>
      </c>
      <c r="D16" s="4" t="n">
        <v>0.0529</v>
      </c>
      <c r="E16" s="3" t="s">
        <v>145</v>
      </c>
    </row>
    <row r="17" customFormat="false" ht="16.5" hidden="false" customHeight="true" outlineLevel="0" collapsed="false">
      <c r="A17" s="3" t="s">
        <v>53</v>
      </c>
      <c r="B17" s="4" t="n">
        <v>0.2302</v>
      </c>
      <c r="C17" s="3" t="s">
        <v>146</v>
      </c>
      <c r="D17" s="4" t="n">
        <v>0.2392</v>
      </c>
      <c r="E17" s="3" t="s">
        <v>147</v>
      </c>
    </row>
    <row r="18" customFormat="false" ht="16.5" hidden="false" customHeight="true" outlineLevel="0" collapsed="false">
      <c r="A18" s="3" t="s">
        <v>56</v>
      </c>
      <c r="B18" s="4" t="n">
        <v>0.3671</v>
      </c>
      <c r="C18" s="3" t="s">
        <v>148</v>
      </c>
      <c r="D18" s="4" t="n">
        <v>0.2313</v>
      </c>
      <c r="E18" s="3" t="s">
        <v>149</v>
      </c>
    </row>
    <row r="19" customFormat="false" ht="16.5" hidden="false" customHeight="true" outlineLevel="0" collapsed="false">
      <c r="A19" s="3" t="s">
        <v>59</v>
      </c>
      <c r="B19" s="4" t="n">
        <v>0.1442</v>
      </c>
      <c r="C19" s="3" t="s">
        <v>150</v>
      </c>
      <c r="D19" s="4" t="n">
        <v>0.1454</v>
      </c>
      <c r="E19" s="3" t="s">
        <v>151</v>
      </c>
    </row>
    <row r="20" customFormat="false" ht="16.5" hidden="false" customHeight="true" outlineLevel="0" collapsed="false">
      <c r="A20" s="3" t="s">
        <v>62</v>
      </c>
      <c r="B20" s="4" t="n">
        <v>0.3108</v>
      </c>
      <c r="C20" s="3" t="s">
        <v>152</v>
      </c>
      <c r="D20" s="4" t="n">
        <v>0.1613</v>
      </c>
      <c r="E20" s="3" t="s">
        <v>153</v>
      </c>
    </row>
    <row r="21" customFormat="false" ht="16.5" hidden="false" customHeight="true" outlineLevel="0" collapsed="false">
      <c r="A21" s="3" t="s">
        <v>65</v>
      </c>
      <c r="B21" s="4" t="n">
        <v>0.3629</v>
      </c>
      <c r="C21" s="3" t="s">
        <v>154</v>
      </c>
      <c r="D21" s="4" t="n">
        <v>0.2985</v>
      </c>
      <c r="E21" s="3" t="s">
        <v>155</v>
      </c>
    </row>
    <row r="22" customFormat="false" ht="16.5" hidden="false" customHeight="true" outlineLevel="0" collapsed="false">
      <c r="A22" s="3" t="s">
        <v>68</v>
      </c>
      <c r="B22" s="4" t="n">
        <v>0.3201</v>
      </c>
      <c r="C22" s="3" t="s">
        <v>156</v>
      </c>
      <c r="D22" s="4" t="n">
        <v>0.3621</v>
      </c>
      <c r="E22" s="3" t="s">
        <v>157</v>
      </c>
    </row>
    <row r="23" customFormat="false" ht="16.5" hidden="false" customHeight="true" outlineLevel="0" collapsed="false">
      <c r="A23" s="3" t="s">
        <v>71</v>
      </c>
      <c r="B23" s="4" t="n">
        <v>0.3539</v>
      </c>
      <c r="C23" s="3" t="s">
        <v>158</v>
      </c>
      <c r="D23" s="4" t="n">
        <v>0.3174</v>
      </c>
      <c r="E23" s="3" t="s">
        <v>159</v>
      </c>
    </row>
    <row r="24" customFormat="false" ht="16.5" hidden="false" customHeight="true" outlineLevel="0" collapsed="false">
      <c r="A24" s="3" t="s">
        <v>74</v>
      </c>
      <c r="B24" s="4" t="n">
        <v>0.2929</v>
      </c>
      <c r="C24" s="3" t="s">
        <v>160</v>
      </c>
      <c r="D24" s="4" t="n">
        <v>0.0642</v>
      </c>
      <c r="E24" s="3" t="s">
        <v>161</v>
      </c>
    </row>
    <row r="25" customFormat="false" ht="16.5" hidden="false" customHeight="true" outlineLevel="0" collapsed="false">
      <c r="A25" s="3" t="s">
        <v>77</v>
      </c>
      <c r="B25" s="4" t="n">
        <v>0.1939</v>
      </c>
      <c r="C25" s="3" t="s">
        <v>162</v>
      </c>
      <c r="D25" s="4" t="n">
        <v>0.139</v>
      </c>
      <c r="E25" s="3" t="s">
        <v>163</v>
      </c>
    </row>
    <row r="26" customFormat="false" ht="16.5" hidden="false" customHeight="true" outlineLevel="0" collapsed="false">
      <c r="A26" s="3" t="s">
        <v>80</v>
      </c>
      <c r="B26" s="4" t="n">
        <v>0.54</v>
      </c>
      <c r="C26" s="3" t="s">
        <v>164</v>
      </c>
      <c r="D26" s="4" t="n">
        <v>0.4644</v>
      </c>
      <c r="E26" s="3" t="s">
        <v>165</v>
      </c>
    </row>
    <row r="27" customFormat="false" ht="16.5" hidden="false" customHeight="true" outlineLevel="0" collapsed="false">
      <c r="A27" s="3" t="s">
        <v>83</v>
      </c>
      <c r="B27" s="4" t="n">
        <v>0.2913</v>
      </c>
      <c r="C27" s="3" t="s">
        <v>166</v>
      </c>
      <c r="D27" s="4" t="n">
        <v>0.2149</v>
      </c>
      <c r="E27" s="3" t="s">
        <v>167</v>
      </c>
    </row>
    <row r="28" customFormat="false" ht="16.5" hidden="false" customHeight="true" outlineLevel="0" collapsed="false">
      <c r="A28" s="3" t="s">
        <v>86</v>
      </c>
      <c r="B28" s="4" t="n">
        <v>0.1884</v>
      </c>
      <c r="C28" s="3" t="s">
        <v>168</v>
      </c>
      <c r="D28" s="4" t="n">
        <v>0.2106</v>
      </c>
      <c r="E28" s="3" t="s">
        <v>169</v>
      </c>
    </row>
    <row r="29" customFormat="false" ht="16.5" hidden="false" customHeight="true" outlineLevel="0" collapsed="false">
      <c r="A29" s="3" t="s">
        <v>89</v>
      </c>
      <c r="B29" s="4" t="n">
        <v>0.2664</v>
      </c>
      <c r="C29" s="3" t="s">
        <v>170</v>
      </c>
      <c r="D29" s="4" t="n">
        <v>0.1776</v>
      </c>
      <c r="E29" s="3" t="s">
        <v>171</v>
      </c>
    </row>
    <row r="30" customFormat="false" ht="16.5" hidden="false" customHeight="true" outlineLevel="0" collapsed="false">
      <c r="A30" s="3" t="s">
        <v>92</v>
      </c>
      <c r="B30" s="4" t="n">
        <v>0.2517</v>
      </c>
      <c r="C30" s="3" t="s">
        <v>172</v>
      </c>
      <c r="D30" s="4" t="n">
        <v>0.1974</v>
      </c>
      <c r="E30" s="3" t="s">
        <v>173</v>
      </c>
    </row>
    <row r="31" customFormat="false" ht="16.5" hidden="false" customHeight="true" outlineLevel="0" collapsed="false">
      <c r="A31" s="3" t="s">
        <v>95</v>
      </c>
      <c r="B31" s="4" t="n">
        <v>0.1853</v>
      </c>
      <c r="C31" s="3" t="s">
        <v>174</v>
      </c>
      <c r="D31" s="4" t="n">
        <v>0.063</v>
      </c>
      <c r="E31" s="3" t="s">
        <v>175</v>
      </c>
    </row>
    <row r="32" customFormat="false" ht="16.5" hidden="false" customHeight="true" outlineLevel="0" collapsed="false">
      <c r="A32" s="3" t="s">
        <v>98</v>
      </c>
      <c r="B32" s="4" t="n">
        <v>0.3173</v>
      </c>
      <c r="C32" s="3" t="s">
        <v>176</v>
      </c>
      <c r="D32" s="4" t="n">
        <v>0.2437</v>
      </c>
      <c r="E32" s="3" t="s">
        <v>177</v>
      </c>
    </row>
    <row r="33" customFormat="false" ht="16.5" hidden="false" customHeight="true" outlineLevel="0" collapsed="false">
      <c r="A33" s="3" t="s">
        <v>101</v>
      </c>
      <c r="B33" s="4" t="n">
        <v>0.3104</v>
      </c>
      <c r="C33" s="3" t="s">
        <v>178</v>
      </c>
      <c r="D33" s="4" t="n">
        <v>0.3653</v>
      </c>
      <c r="E33" s="3" t="s">
        <v>179</v>
      </c>
    </row>
    <row r="34" customFormat="false" ht="16.5" hidden="false" customHeight="true" outlineLevel="0" collapsed="false">
      <c r="A34" s="3" t="s">
        <v>104</v>
      </c>
      <c r="B34" s="4" t="n">
        <v>0.5361</v>
      </c>
      <c r="C34" s="3" t="s">
        <v>180</v>
      </c>
      <c r="D34" s="4" t="n">
        <v>0.2894</v>
      </c>
      <c r="E34" s="3" t="s">
        <v>181</v>
      </c>
    </row>
    <row r="35" customFormat="false" ht="16.5" hidden="false" customHeight="true" outlineLevel="0" collapsed="false">
      <c r="A35" s="3" t="s">
        <v>107</v>
      </c>
      <c r="B35" s="4" t="n">
        <v>0.2596</v>
      </c>
      <c r="C35" s="3" t="s">
        <v>182</v>
      </c>
      <c r="D35" s="4" t="n">
        <v>0.2546</v>
      </c>
      <c r="E35" s="3" t="s">
        <v>183</v>
      </c>
    </row>
    <row r="36" customFormat="false" ht="16.5" hidden="false" customHeight="true" outlineLevel="0" collapsed="false">
      <c r="A36" s="3" t="s">
        <v>110</v>
      </c>
      <c r="B36" s="4" t="n">
        <v>0.2284</v>
      </c>
      <c r="C36" s="3" t="s">
        <v>184</v>
      </c>
      <c r="D36" s="4" t="n">
        <v>0.1946</v>
      </c>
      <c r="E36" s="3" t="s">
        <v>185</v>
      </c>
    </row>
    <row r="37" customFormat="false" ht="16.5" hidden="false" customHeight="true" outlineLevel="0" collapsed="false">
      <c r="A37" s="3" t="s">
        <v>113</v>
      </c>
      <c r="B37" s="4" t="n">
        <v>0.2219</v>
      </c>
      <c r="C37" s="3" t="s">
        <v>186</v>
      </c>
      <c r="D37" s="4" t="n">
        <v>0.206</v>
      </c>
      <c r="E37" s="3" t="s">
        <v>187</v>
      </c>
    </row>
    <row r="38" customFormat="false" ht="13.5" hidden="false" customHeight="true" outlineLevel="0" collapsed="false">
      <c r="A38" s="6" t="s">
        <v>188</v>
      </c>
      <c r="B38" s="6"/>
      <c r="C38" s="6"/>
      <c r="D38" s="6"/>
      <c r="E38" s="6"/>
    </row>
  </sheetData>
  <mergeCells count="2">
    <mergeCell ref="A1:E1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24.7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2" customFormat="false" ht="34.5" hidden="false" customHeight="true" outlineLevel="0" collapsed="false">
      <c r="A2" s="7" t="s">
        <v>190</v>
      </c>
      <c r="B2" s="8" t="s">
        <v>191</v>
      </c>
      <c r="C2" s="8" t="s">
        <v>192</v>
      </c>
      <c r="D2" s="8" t="s">
        <v>193</v>
      </c>
      <c r="E2" s="8" t="s">
        <v>194</v>
      </c>
      <c r="F2" s="8" t="s">
        <v>195</v>
      </c>
      <c r="G2" s="8" t="s">
        <v>196</v>
      </c>
      <c r="H2" s="8" t="s">
        <v>197</v>
      </c>
    </row>
    <row r="3" customFormat="false" ht="16.5" hidden="false" customHeight="true" outlineLevel="0" collapsed="false">
      <c r="A3" s="9" t="s">
        <v>198</v>
      </c>
      <c r="B3" s="5" t="n">
        <v>138</v>
      </c>
      <c r="C3" s="5" t="n">
        <v>425</v>
      </c>
      <c r="D3" s="10" t="n">
        <f aca="false">B3/(B3+C3)*100</f>
        <v>24.5115452930728</v>
      </c>
      <c r="E3" s="5" t="n">
        <v>671</v>
      </c>
      <c r="F3" s="5" t="n">
        <v>2922</v>
      </c>
      <c r="G3" s="10" t="n">
        <f aca="false">E3/(E3+F3)*100</f>
        <v>18.6752017812413</v>
      </c>
      <c r="H3" s="11" t="n">
        <f aca="false">B3+E3</f>
        <v>809</v>
      </c>
    </row>
    <row r="4" customFormat="false" ht="16.5" hidden="false" customHeight="true" outlineLevel="0" collapsed="false">
      <c r="A4" s="9" t="s">
        <v>199</v>
      </c>
      <c r="B4" s="5" t="n">
        <v>272</v>
      </c>
      <c r="C4" s="5" t="n">
        <v>649</v>
      </c>
      <c r="D4" s="10" t="n">
        <f aca="false">B4/(B4+C4)*100</f>
        <v>29.5331161780673</v>
      </c>
      <c r="E4" s="5" t="n">
        <v>1479</v>
      </c>
      <c r="F4" s="5" t="n">
        <v>4910</v>
      </c>
      <c r="G4" s="10" t="n">
        <f aca="false">E4/(E4+F4)*100</f>
        <v>23.1491626232587</v>
      </c>
      <c r="H4" s="11" t="n">
        <f aca="false">B4+E4</f>
        <v>1751</v>
      </c>
    </row>
    <row r="5" customFormat="false" ht="16.5" hidden="false" customHeight="true" outlineLevel="0" collapsed="false">
      <c r="A5" s="9" t="s">
        <v>200</v>
      </c>
      <c r="B5" s="5" t="n">
        <v>526</v>
      </c>
      <c r="C5" s="5" t="n">
        <v>1108</v>
      </c>
      <c r="D5" s="10" t="n">
        <f aca="false">B5/(B5+C5)*100</f>
        <v>32.1909424724602</v>
      </c>
      <c r="E5" s="5" t="n">
        <v>2703</v>
      </c>
      <c r="F5" s="5" t="n">
        <v>8050</v>
      </c>
      <c r="G5" s="10" t="n">
        <f aca="false">E5/(E5+F5)*100</f>
        <v>25.1371710220404</v>
      </c>
      <c r="H5" s="11" t="n">
        <f aca="false">B5+E5</f>
        <v>3229</v>
      </c>
    </row>
    <row r="6" customFormat="false" ht="16.5" hidden="false" customHeight="true" outlineLevel="0" collapsed="false">
      <c r="A6" s="9" t="s">
        <v>201</v>
      </c>
      <c r="B6" s="5" t="n">
        <v>287</v>
      </c>
      <c r="C6" s="5" t="n">
        <v>819</v>
      </c>
      <c r="D6" s="10" t="n">
        <f aca="false">B6/(B6+C6)*100</f>
        <v>25.9493670886076</v>
      </c>
      <c r="E6" s="5" t="n">
        <v>1793</v>
      </c>
      <c r="F6" s="5" t="n">
        <v>6094</v>
      </c>
      <c r="G6" s="10" t="n">
        <f aca="false">E6/(E6+F6)*100</f>
        <v>22.7336122733612</v>
      </c>
      <c r="H6" s="11" t="n">
        <f aca="false">B6+E6</f>
        <v>2080</v>
      </c>
    </row>
    <row r="8" customFormat="false" ht="16.5" hidden="false" customHeight="true" outlineLevel="0" collapsed="false">
      <c r="A8" s="12" t="s">
        <v>202</v>
      </c>
      <c r="B8" s="13"/>
      <c r="C8" s="13"/>
      <c r="D8" s="13"/>
      <c r="E8" s="13"/>
      <c r="F8" s="13"/>
      <c r="G8" s="13"/>
      <c r="H8" s="13"/>
    </row>
    <row r="9" customFormat="false" ht="34.5" hidden="false" customHeight="true" outlineLevel="0" collapsed="false">
      <c r="A9" s="7" t="s">
        <v>203</v>
      </c>
      <c r="B9" s="8" t="s">
        <v>204</v>
      </c>
      <c r="C9" s="8" t="s">
        <v>205</v>
      </c>
      <c r="D9" s="8" t="s">
        <v>206</v>
      </c>
      <c r="E9" s="8" t="s">
        <v>207</v>
      </c>
      <c r="F9" s="8" t="s">
        <v>7</v>
      </c>
      <c r="G9" s="8"/>
      <c r="H9" s="8"/>
    </row>
    <row r="10" customFormat="false" ht="16.5" hidden="false" customHeight="true" outlineLevel="0" collapsed="false">
      <c r="A10" s="3" t="s">
        <v>208</v>
      </c>
      <c r="B10" s="5" t="n">
        <v>2165</v>
      </c>
      <c r="C10" s="5" t="n">
        <v>7650</v>
      </c>
      <c r="D10" s="10" t="n">
        <f aca="false">B10/C10*100</f>
        <v>28.3006535947712</v>
      </c>
      <c r="E10" s="14" t="n">
        <v>28.3</v>
      </c>
      <c r="F10" s="5" t="s">
        <v>16</v>
      </c>
    </row>
    <row r="11" customFormat="false" ht="16.5" hidden="false" customHeight="true" outlineLevel="0" collapsed="false">
      <c r="A11" s="3" t="s">
        <v>209</v>
      </c>
      <c r="B11" s="5" t="n">
        <v>984</v>
      </c>
      <c r="C11" s="5" t="n">
        <v>4021</v>
      </c>
      <c r="D11" s="10" t="n">
        <f aca="false">B11/C11*100</f>
        <v>24.4715244963939</v>
      </c>
      <c r="E11" s="14" t="n">
        <v>24.5</v>
      </c>
      <c r="F11" s="5" t="s">
        <v>16</v>
      </c>
    </row>
    <row r="12" customFormat="false" ht="16.5" hidden="false" customHeight="true" outlineLevel="0" collapsed="false">
      <c r="A12" s="3" t="s">
        <v>210</v>
      </c>
      <c r="B12" s="5" t="n">
        <v>2912</v>
      </c>
      <c r="C12" s="5" t="n">
        <v>13465</v>
      </c>
      <c r="D12" s="10" t="n">
        <f aca="false">B12/C12*100</f>
        <v>21.6264389157074</v>
      </c>
      <c r="E12" s="14" t="n">
        <v>21.6</v>
      </c>
      <c r="F12" s="5" t="s">
        <v>16</v>
      </c>
    </row>
    <row r="13" customFormat="false" ht="16.5" hidden="false" customHeight="true" outlineLevel="0" collapsed="false">
      <c r="A13" s="3" t="s">
        <v>211</v>
      </c>
      <c r="B13" s="5" t="n">
        <v>585</v>
      </c>
      <c r="C13" s="5" t="n">
        <v>3486</v>
      </c>
      <c r="D13" s="10" t="n">
        <f aca="false">B13/C13*100</f>
        <v>16.7814113597246</v>
      </c>
      <c r="E13" s="14" t="n">
        <v>16.8</v>
      </c>
      <c r="F13" s="5" t="s">
        <v>16</v>
      </c>
    </row>
    <row r="15" customFormat="false" ht="16.5" hidden="false" customHeight="true" outlineLevel="0" collapsed="false">
      <c r="A15" s="12" t="s">
        <v>212</v>
      </c>
      <c r="B15" s="13"/>
      <c r="C15" s="13"/>
      <c r="D15" s="13"/>
      <c r="E15" s="13"/>
      <c r="F15" s="13"/>
      <c r="G15" s="13"/>
      <c r="H15" s="13"/>
    </row>
    <row r="16" customFormat="false" ht="34.5" hidden="false" customHeight="true" outlineLevel="0" collapsed="false">
      <c r="A16" s="7" t="s">
        <v>213</v>
      </c>
      <c r="B16" s="8" t="s">
        <v>191</v>
      </c>
      <c r="C16" s="8" t="s">
        <v>214</v>
      </c>
      <c r="D16" s="8" t="s">
        <v>215</v>
      </c>
      <c r="E16" s="8" t="s">
        <v>194</v>
      </c>
      <c r="F16" s="8" t="s">
        <v>216</v>
      </c>
      <c r="G16" s="8" t="s">
        <v>217</v>
      </c>
      <c r="H16" s="8"/>
    </row>
    <row r="17" customFormat="false" ht="16.5" hidden="false" customHeight="true" outlineLevel="0" collapsed="false">
      <c r="A17" s="9" t="s">
        <v>218</v>
      </c>
      <c r="B17" s="5" t="n">
        <v>173</v>
      </c>
      <c r="C17" s="5" t="n">
        <v>535</v>
      </c>
      <c r="D17" s="10" t="n">
        <f aca="false">B17/C17*100</f>
        <v>32.3364485981308</v>
      </c>
      <c r="E17" s="5" t="n">
        <v>1115</v>
      </c>
      <c r="F17" s="5" t="n">
        <v>4040</v>
      </c>
      <c r="G17" s="10" t="n">
        <f aca="false">E17/F17*100</f>
        <v>27.5990099009901</v>
      </c>
    </row>
    <row r="18" customFormat="false" ht="16.5" hidden="false" customHeight="true" outlineLevel="0" collapsed="false">
      <c r="A18" s="9" t="s">
        <v>219</v>
      </c>
      <c r="B18" s="5" t="n">
        <v>261</v>
      </c>
      <c r="C18" s="5" t="n">
        <v>800</v>
      </c>
      <c r="D18" s="10" t="n">
        <f aca="false">B18/C18*100</f>
        <v>32.625</v>
      </c>
      <c r="E18" s="5" t="n">
        <v>1309</v>
      </c>
      <c r="F18" s="5" t="n">
        <v>5231</v>
      </c>
      <c r="G18" s="10" t="n">
        <f aca="false">E18/F18*100</f>
        <v>25.023896004588</v>
      </c>
    </row>
    <row r="19" customFormat="false" ht="16.5" hidden="false" customHeight="true" outlineLevel="0" collapsed="false">
      <c r="A19" s="9" t="s">
        <v>220</v>
      </c>
      <c r="B19" s="5" t="n">
        <v>280</v>
      </c>
      <c r="C19" s="5" t="n">
        <v>942</v>
      </c>
      <c r="D19" s="10" t="n">
        <f aca="false">B19/C19*100</f>
        <v>29.723991507431</v>
      </c>
      <c r="E19" s="5" t="n">
        <v>1501</v>
      </c>
      <c r="F19" s="5" t="n">
        <v>6075</v>
      </c>
      <c r="G19" s="10" t="n">
        <f aca="false">E19/F19*100</f>
        <v>24.7078189300412</v>
      </c>
    </row>
    <row r="20" customFormat="false" ht="16.5" hidden="false" customHeight="true" outlineLevel="0" collapsed="false">
      <c r="A20" s="9" t="s">
        <v>221</v>
      </c>
      <c r="B20" s="5" t="n">
        <v>286</v>
      </c>
      <c r="C20" s="5" t="n">
        <v>1021</v>
      </c>
      <c r="D20" s="10" t="n">
        <f aca="false">B20/C20*100</f>
        <v>28.0117531831538</v>
      </c>
      <c r="E20" s="5" t="n">
        <v>1522</v>
      </c>
      <c r="F20" s="5" t="n">
        <v>6805</v>
      </c>
      <c r="G20" s="10" t="n">
        <f aca="false">E20/F20*100</f>
        <v>22.365907421014</v>
      </c>
    </row>
    <row r="21" customFormat="false" ht="16.5" hidden="false" customHeight="true" outlineLevel="0" collapsed="false">
      <c r="A21" s="9" t="s">
        <v>222</v>
      </c>
      <c r="B21" s="5" t="n">
        <v>223</v>
      </c>
      <c r="C21" s="5" t="n">
        <v>926</v>
      </c>
      <c r="D21" s="10" t="n">
        <f aca="false">B21/C21*100</f>
        <v>24.0820734341253</v>
      </c>
      <c r="E21" s="5" t="n">
        <v>1199</v>
      </c>
      <c r="F21" s="5" t="n">
        <v>6471</v>
      </c>
      <c r="G21" s="10" t="n">
        <f aca="false">E21/F21*100</f>
        <v>18.5288208932159</v>
      </c>
    </row>
    <row r="22" customFormat="false" ht="13.5" hidden="false" customHeight="true" outlineLevel="0" collapsed="false">
      <c r="A22" s="6" t="s">
        <v>223</v>
      </c>
      <c r="B22" s="6"/>
      <c r="C22" s="6"/>
      <c r="D22" s="6"/>
      <c r="E22" s="6"/>
      <c r="F22" s="6"/>
      <c r="G22" s="6"/>
      <c r="H22" s="6"/>
    </row>
  </sheetData>
  <mergeCells count="2">
    <mergeCell ref="A1:H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4"/>
  </cols>
  <sheetData>
    <row r="1" customFormat="false" ht="24.75" hidden="false" customHeight="true" outlineLevel="0" collapsed="false">
      <c r="A1" s="1" t="s">
        <v>224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7" t="s">
        <v>225</v>
      </c>
      <c r="B2" s="8" t="s">
        <v>226</v>
      </c>
      <c r="C2" s="8" t="s">
        <v>227</v>
      </c>
      <c r="D2" s="8" t="s">
        <v>228</v>
      </c>
      <c r="E2" s="8" t="s">
        <v>229</v>
      </c>
      <c r="F2" s="8" t="s">
        <v>207</v>
      </c>
    </row>
    <row r="3" customFormat="false" ht="16.5" hidden="false" customHeight="true" outlineLevel="0" collapsed="false">
      <c r="A3" s="9" t="s">
        <v>230</v>
      </c>
      <c r="B3" s="5" t="n">
        <v>528</v>
      </c>
      <c r="C3" s="5" t="n">
        <v>1680</v>
      </c>
      <c r="D3" s="10" t="n">
        <f aca="false">B3/C3*100</f>
        <v>31.4285714285714</v>
      </c>
      <c r="E3" s="14" t="n">
        <v>31.4</v>
      </c>
    </row>
    <row r="4" customFormat="false" ht="16.5" hidden="false" customHeight="true" outlineLevel="0" collapsed="false">
      <c r="A4" s="9" t="s">
        <v>231</v>
      </c>
      <c r="B4" s="5" t="n">
        <v>695</v>
      </c>
      <c r="C4" s="5" t="n">
        <v>2544</v>
      </c>
      <c r="D4" s="10" t="n">
        <f aca="false">B4/C4*100</f>
        <v>27.3191823899371</v>
      </c>
      <c r="E4" s="14" t="n">
        <v>27.3</v>
      </c>
    </row>
    <row r="5" customFormat="false" ht="16.5" hidden="false" customHeight="true" outlineLevel="0" collapsed="false">
      <c r="A5" s="9" t="s">
        <v>232</v>
      </c>
      <c r="B5" s="5" t="n">
        <v>3377</v>
      </c>
      <c r="C5" s="5" t="n">
        <v>14326</v>
      </c>
      <c r="D5" s="10" t="n">
        <f aca="false">B5/C5*100</f>
        <v>23.5725254781516</v>
      </c>
      <c r="E5" s="14" t="n">
        <v>23.6</v>
      </c>
    </row>
    <row r="6" customFormat="false" ht="16.5" hidden="false" customHeight="true" outlineLevel="0" collapsed="false">
      <c r="A6" s="9" t="s">
        <v>233</v>
      </c>
      <c r="B6" s="5" t="n">
        <v>3269</v>
      </c>
      <c r="C6" s="5" t="n">
        <v>14296</v>
      </c>
      <c r="D6" s="10" t="n">
        <f aca="false">B6/C6*100</f>
        <v>22.8665360940123</v>
      </c>
      <c r="E6" s="14" t="n">
        <v>22.9</v>
      </c>
    </row>
    <row r="8" customFormat="false" ht="16.5" hidden="false" customHeight="true" outlineLevel="0" collapsed="false">
      <c r="A8" s="12" t="s">
        <v>234</v>
      </c>
      <c r="B8" s="13"/>
      <c r="C8" s="13"/>
      <c r="D8" s="13"/>
      <c r="E8" s="13"/>
      <c r="F8" s="13"/>
    </row>
    <row r="9" customFormat="false" ht="34.5" hidden="false" customHeight="true" outlineLevel="0" collapsed="false">
      <c r="A9" s="7" t="s">
        <v>226</v>
      </c>
      <c r="B9" s="8" t="s">
        <v>235</v>
      </c>
      <c r="C9" s="8" t="s">
        <v>236</v>
      </c>
      <c r="D9" s="8" t="s">
        <v>237</v>
      </c>
      <c r="E9" s="8"/>
      <c r="F9" s="8"/>
    </row>
    <row r="10" customFormat="false" ht="16.5" hidden="false" customHeight="true" outlineLevel="0" collapsed="false">
      <c r="A10" s="9" t="s">
        <v>238</v>
      </c>
      <c r="B10" s="15" t="n">
        <v>93.38</v>
      </c>
      <c r="C10" s="15" t="n">
        <v>5.56</v>
      </c>
      <c r="D10" s="15" t="n">
        <v>1.06</v>
      </c>
    </row>
    <row r="11" customFormat="false" ht="16.5" hidden="false" customHeight="true" outlineLevel="0" collapsed="false">
      <c r="A11" s="9" t="s">
        <v>239</v>
      </c>
      <c r="B11" s="15" t="n">
        <v>81.04</v>
      </c>
      <c r="C11" s="15" t="n">
        <v>14.2</v>
      </c>
      <c r="D11" s="15" t="n">
        <v>4.77</v>
      </c>
    </row>
    <row r="12" customFormat="false" ht="16.5" hidden="false" customHeight="true" outlineLevel="0" collapsed="false">
      <c r="A12" s="9" t="s">
        <v>240</v>
      </c>
      <c r="B12" s="15" t="n">
        <v>86.73</v>
      </c>
      <c r="C12" s="15" t="n">
        <v>11.48</v>
      </c>
      <c r="D12" s="15" t="n">
        <v>1.79</v>
      </c>
    </row>
    <row r="13" customFormat="false" ht="16.5" hidden="false" customHeight="true" outlineLevel="0" collapsed="false">
      <c r="A13" s="9" t="s">
        <v>241</v>
      </c>
      <c r="B13" s="15" t="n">
        <v>69.73</v>
      </c>
      <c r="C13" s="15" t="n">
        <v>22.72</v>
      </c>
      <c r="D13" s="15" t="n">
        <v>7.55</v>
      </c>
    </row>
    <row r="14" customFormat="false" ht="13.5" hidden="false" customHeight="true" outlineLevel="0" collapsed="false">
      <c r="A14" s="6" t="s">
        <v>242</v>
      </c>
      <c r="B14" s="6"/>
      <c r="C14" s="6"/>
      <c r="D14" s="6"/>
      <c r="E14" s="6"/>
      <c r="F14" s="6"/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4.75" hidden="false" customHeight="true" outlineLevel="0" collapsed="false">
      <c r="A1" s="1" t="s">
        <v>243</v>
      </c>
      <c r="B1" s="1"/>
      <c r="C1" s="1"/>
      <c r="D1" s="1"/>
      <c r="E1" s="1"/>
      <c r="F1" s="1"/>
    </row>
    <row r="2" customFormat="false" ht="34.5" hidden="false" customHeight="true" outlineLevel="0" collapsed="false">
      <c r="A2" s="7" t="s">
        <v>244</v>
      </c>
      <c r="B2" s="8" t="s">
        <v>191</v>
      </c>
      <c r="C2" s="8" t="s">
        <v>214</v>
      </c>
      <c r="D2" s="8" t="s">
        <v>193</v>
      </c>
      <c r="E2" s="8" t="s">
        <v>245</v>
      </c>
      <c r="F2" s="8" t="s">
        <v>7</v>
      </c>
    </row>
    <row r="3" customFormat="false" ht="16.5" hidden="false" customHeight="true" outlineLevel="0" collapsed="false">
      <c r="A3" s="9" t="s">
        <v>246</v>
      </c>
      <c r="B3" s="5" t="n">
        <v>160</v>
      </c>
      <c r="C3" s="5" t="n">
        <v>738</v>
      </c>
      <c r="D3" s="10" t="n">
        <f aca="false">B3/C3*100</f>
        <v>21.680216802168</v>
      </c>
      <c r="E3" s="14" t="n">
        <v>21.7</v>
      </c>
      <c r="F3" s="5" t="s">
        <v>16</v>
      </c>
    </row>
    <row r="4" customFormat="false" ht="16.5" hidden="false" customHeight="true" outlineLevel="0" collapsed="false">
      <c r="A4" s="9" t="s">
        <v>247</v>
      </c>
      <c r="B4" s="5" t="n">
        <v>235</v>
      </c>
      <c r="C4" s="5" t="n">
        <v>760</v>
      </c>
      <c r="D4" s="10" t="n">
        <f aca="false">B4/C4*100</f>
        <v>30.921052631579</v>
      </c>
      <c r="E4" s="14" t="n">
        <v>30.9</v>
      </c>
      <c r="F4" s="5" t="s">
        <v>16</v>
      </c>
    </row>
    <row r="5" customFormat="false" ht="16.5" hidden="false" customHeight="true" outlineLevel="0" collapsed="false">
      <c r="A5" s="9" t="s">
        <v>248</v>
      </c>
      <c r="B5" s="5" t="n">
        <v>179</v>
      </c>
      <c r="C5" s="5" t="n">
        <v>698</v>
      </c>
      <c r="D5" s="10" t="n">
        <f aca="false">B5/C5*100</f>
        <v>25.6446991404011</v>
      </c>
      <c r="E5" s="14" t="n">
        <v>25.6</v>
      </c>
      <c r="F5" s="5" t="s">
        <v>16</v>
      </c>
    </row>
    <row r="6" customFormat="false" ht="16.5" hidden="false" customHeight="true" outlineLevel="0" collapsed="false">
      <c r="A6" s="9" t="s">
        <v>249</v>
      </c>
      <c r="B6" s="5" t="n">
        <v>159</v>
      </c>
      <c r="C6" s="5" t="n">
        <v>566</v>
      </c>
      <c r="D6" s="10" t="n">
        <f aca="false">B6/C6*100</f>
        <v>28.0918727915194</v>
      </c>
      <c r="E6" s="14" t="n">
        <v>28.1</v>
      </c>
      <c r="F6" s="5" t="s">
        <v>16</v>
      </c>
    </row>
    <row r="7" customFormat="false" ht="16.5" hidden="false" customHeight="true" outlineLevel="0" collapsed="false">
      <c r="A7" s="9" t="s">
        <v>250</v>
      </c>
      <c r="B7" s="5" t="n">
        <v>194</v>
      </c>
      <c r="C7" s="5" t="n">
        <v>472</v>
      </c>
      <c r="D7" s="10" t="n">
        <f aca="false">B7/C7*100</f>
        <v>41.1016949152542</v>
      </c>
      <c r="E7" s="14" t="n">
        <v>41.1</v>
      </c>
      <c r="F7" s="5" t="s">
        <v>16</v>
      </c>
    </row>
    <row r="8" customFormat="false" ht="16.5" hidden="false" customHeight="true" outlineLevel="0" collapsed="false">
      <c r="A8" s="9" t="s">
        <v>251</v>
      </c>
      <c r="B8" s="5" t="n">
        <v>296</v>
      </c>
      <c r="C8" s="5" t="n">
        <v>990</v>
      </c>
      <c r="D8" s="10" t="n">
        <f aca="false">B8/C8*100</f>
        <v>29.8989898989899</v>
      </c>
      <c r="E8" s="14" t="n">
        <v>29.9</v>
      </c>
      <c r="F8" s="5" t="s">
        <v>16</v>
      </c>
    </row>
    <row r="10" customFormat="false" ht="16.5" hidden="false" customHeight="true" outlineLevel="0" collapsed="false">
      <c r="A10" s="12" t="s">
        <v>252</v>
      </c>
      <c r="B10" s="13"/>
      <c r="C10" s="13"/>
      <c r="D10" s="13"/>
      <c r="E10" s="13"/>
      <c r="F10" s="13"/>
    </row>
    <row r="11" customFormat="false" ht="34.5" hidden="false" customHeight="true" outlineLevel="0" collapsed="false">
      <c r="A11" s="7" t="s">
        <v>253</v>
      </c>
      <c r="B11" s="8" t="s">
        <v>191</v>
      </c>
      <c r="C11" s="8" t="s">
        <v>193</v>
      </c>
      <c r="D11" s="8" t="s">
        <v>194</v>
      </c>
      <c r="E11" s="8" t="s">
        <v>196</v>
      </c>
      <c r="F11" s="8"/>
    </row>
    <row r="12" customFormat="false" ht="16.5" hidden="false" customHeight="true" outlineLevel="0" collapsed="false">
      <c r="A12" s="3" t="s">
        <v>254</v>
      </c>
      <c r="B12" s="5" t="n">
        <v>102</v>
      </c>
      <c r="C12" s="15" t="n">
        <v>8.38</v>
      </c>
      <c r="D12" s="5" t="n">
        <v>612</v>
      </c>
      <c r="E12" s="15" t="n">
        <v>9.23</v>
      </c>
    </row>
    <row r="13" customFormat="false" ht="16.5" hidden="false" customHeight="true" outlineLevel="0" collapsed="false">
      <c r="A13" s="3" t="s">
        <v>255</v>
      </c>
      <c r="B13" s="5" t="n">
        <v>366</v>
      </c>
      <c r="C13" s="15" t="n">
        <v>30.07</v>
      </c>
      <c r="D13" s="5" t="n">
        <v>1982</v>
      </c>
      <c r="E13" s="15" t="n">
        <v>29.9</v>
      </c>
    </row>
    <row r="14" customFormat="false" ht="16.5" hidden="false" customHeight="true" outlineLevel="0" collapsed="false">
      <c r="A14" s="3" t="s">
        <v>256</v>
      </c>
      <c r="B14" s="5" t="n">
        <v>237</v>
      </c>
      <c r="C14" s="15" t="n">
        <v>19.47</v>
      </c>
      <c r="D14" s="5" t="n">
        <v>1028</v>
      </c>
      <c r="E14" s="15" t="n">
        <v>15.51</v>
      </c>
    </row>
    <row r="15" customFormat="false" ht="16.5" hidden="false" customHeight="true" outlineLevel="0" collapsed="false">
      <c r="A15" s="3" t="s">
        <v>257</v>
      </c>
      <c r="B15" s="5" t="n">
        <v>372</v>
      </c>
      <c r="C15" s="15" t="n">
        <v>30.57</v>
      </c>
      <c r="D15" s="5" t="n">
        <v>1930</v>
      </c>
      <c r="E15" s="15" t="n">
        <v>29.12</v>
      </c>
    </row>
    <row r="16" customFormat="false" ht="16.5" hidden="false" customHeight="true" outlineLevel="0" collapsed="false">
      <c r="A16" s="3" t="s">
        <v>258</v>
      </c>
      <c r="B16" s="5" t="n">
        <v>140</v>
      </c>
      <c r="C16" s="15" t="n">
        <v>11.5</v>
      </c>
      <c r="D16" s="5" t="n">
        <v>1076</v>
      </c>
      <c r="E16" s="15" t="n">
        <v>16.23</v>
      </c>
    </row>
    <row r="17" customFormat="false" ht="13.5" hidden="false" customHeight="true" outlineLevel="0" collapsed="false">
      <c r="A17" s="6" t="s">
        <v>259</v>
      </c>
      <c r="B17" s="6"/>
      <c r="C17" s="6"/>
      <c r="D17" s="6"/>
      <c r="E17" s="6"/>
      <c r="F17" s="6"/>
    </row>
  </sheetData>
  <mergeCells count="2">
    <mergeCell ref="A1:F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24.75" hidden="false" customHeight="true" outlineLevel="0" collapsed="false">
      <c r="A1" s="1" t="s">
        <v>260</v>
      </c>
      <c r="B1" s="1"/>
      <c r="C1" s="1"/>
      <c r="D1" s="1"/>
      <c r="E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6.5" hidden="false" customHeight="true" outlineLevel="0" collapsed="false">
      <c r="A3" s="3" t="s">
        <v>8</v>
      </c>
      <c r="B3" s="4" t="n">
        <v>0.0152</v>
      </c>
      <c r="C3" s="3" t="s">
        <v>261</v>
      </c>
      <c r="D3" s="4" t="n">
        <v>0.0122</v>
      </c>
      <c r="E3" s="3" t="s">
        <v>262</v>
      </c>
    </row>
    <row r="4" customFormat="false" ht="16.5" hidden="false" customHeight="true" outlineLevel="0" collapsed="false">
      <c r="A4" s="3" t="s">
        <v>13</v>
      </c>
      <c r="B4" s="4" t="n">
        <v>0.0265</v>
      </c>
      <c r="C4" s="3" t="s">
        <v>263</v>
      </c>
      <c r="D4" s="4" t="n">
        <v>0.0213</v>
      </c>
      <c r="E4" s="3" t="s">
        <v>264</v>
      </c>
    </row>
    <row r="5" customFormat="false" ht="16.5" hidden="false" customHeight="true" outlineLevel="0" collapsed="false">
      <c r="A5" s="3" t="s">
        <v>17</v>
      </c>
      <c r="B5" s="4" t="n">
        <v>0.0147</v>
      </c>
      <c r="C5" s="3" t="s">
        <v>265</v>
      </c>
      <c r="D5" s="4" t="n">
        <v>0.0051</v>
      </c>
      <c r="E5" s="3" t="s">
        <v>266</v>
      </c>
    </row>
    <row r="6" customFormat="false" ht="16.5" hidden="false" customHeight="true" outlineLevel="0" collapsed="false">
      <c r="A6" s="3" t="s">
        <v>20</v>
      </c>
      <c r="B6" s="4" t="n">
        <v>0.0095</v>
      </c>
      <c r="C6" s="3" t="s">
        <v>267</v>
      </c>
      <c r="D6" s="4" t="n">
        <v>0.0071</v>
      </c>
      <c r="E6" s="3" t="s">
        <v>268</v>
      </c>
    </row>
    <row r="7" customFormat="false" ht="16.5" hidden="false" customHeight="true" outlineLevel="0" collapsed="false">
      <c r="A7" s="3" t="s">
        <v>23</v>
      </c>
      <c r="B7" s="4" t="n">
        <v>0.0139</v>
      </c>
      <c r="C7" s="3" t="s">
        <v>269</v>
      </c>
      <c r="D7" s="4" t="n">
        <v>0.0122</v>
      </c>
      <c r="E7" s="3" t="s">
        <v>270</v>
      </c>
    </row>
    <row r="8" customFormat="false" ht="16.5" hidden="false" customHeight="true" outlineLevel="0" collapsed="false">
      <c r="A8" s="3" t="s">
        <v>26</v>
      </c>
      <c r="B8" s="4" t="n">
        <v>0.0264</v>
      </c>
      <c r="C8" s="3" t="s">
        <v>271</v>
      </c>
      <c r="D8" s="4" t="n">
        <v>0.0197</v>
      </c>
      <c r="E8" s="3" t="s">
        <v>272</v>
      </c>
    </row>
    <row r="9" customFormat="false" ht="16.5" hidden="false" customHeight="true" outlineLevel="0" collapsed="false">
      <c r="A9" s="3" t="s">
        <v>29</v>
      </c>
      <c r="B9" s="4" t="n">
        <v>0.0165</v>
      </c>
      <c r="C9" s="3" t="s">
        <v>273</v>
      </c>
      <c r="D9" s="4" t="n">
        <v>0.0097</v>
      </c>
      <c r="E9" s="3" t="s">
        <v>274</v>
      </c>
    </row>
    <row r="10" customFormat="false" ht="16.5" hidden="false" customHeight="true" outlineLevel="0" collapsed="false">
      <c r="A10" s="3" t="s">
        <v>32</v>
      </c>
      <c r="B10" s="4" t="n">
        <v>0.0524</v>
      </c>
      <c r="C10" s="3" t="s">
        <v>275</v>
      </c>
      <c r="D10" s="4" t="n">
        <v>0.0164</v>
      </c>
      <c r="E10" s="3" t="s">
        <v>276</v>
      </c>
    </row>
    <row r="11" customFormat="false" ht="16.5" hidden="false" customHeight="true" outlineLevel="0" collapsed="false">
      <c r="A11" s="3" t="s">
        <v>35</v>
      </c>
      <c r="B11" s="4" t="n">
        <v>0.0177</v>
      </c>
      <c r="C11" s="3" t="s">
        <v>277</v>
      </c>
      <c r="D11" s="4" t="n">
        <v>0.007</v>
      </c>
      <c r="E11" s="3" t="s">
        <v>278</v>
      </c>
    </row>
    <row r="12" customFormat="false" ht="16.5" hidden="false" customHeight="true" outlineLevel="0" collapsed="false">
      <c r="A12" s="3" t="s">
        <v>38</v>
      </c>
      <c r="B12" s="4" t="n">
        <v>0.0343</v>
      </c>
      <c r="C12" s="3" t="s">
        <v>279</v>
      </c>
      <c r="D12" s="4" t="n">
        <v>0.0065</v>
      </c>
      <c r="E12" s="3" t="s">
        <v>280</v>
      </c>
    </row>
    <row r="13" customFormat="false" ht="16.5" hidden="false" customHeight="true" outlineLevel="0" collapsed="false">
      <c r="A13" s="3" t="s">
        <v>41</v>
      </c>
      <c r="B13" s="4" t="n">
        <v>0.0159</v>
      </c>
      <c r="C13" s="3" t="s">
        <v>281</v>
      </c>
      <c r="D13" s="4" t="n">
        <v>0.0117</v>
      </c>
      <c r="E13" s="3" t="s">
        <v>282</v>
      </c>
    </row>
    <row r="14" customFormat="false" ht="16.5" hidden="false" customHeight="true" outlineLevel="0" collapsed="false">
      <c r="A14" s="3" t="s">
        <v>44</v>
      </c>
      <c r="B14" s="4" t="n">
        <v>0.0106</v>
      </c>
      <c r="C14" s="3" t="s">
        <v>283</v>
      </c>
      <c r="D14" s="4" t="n">
        <v>0.0083</v>
      </c>
      <c r="E14" s="3" t="s">
        <v>284</v>
      </c>
    </row>
    <row r="15" customFormat="false" ht="16.5" hidden="false" customHeight="true" outlineLevel="0" collapsed="false">
      <c r="A15" s="3" t="s">
        <v>47</v>
      </c>
      <c r="B15" s="4" t="n">
        <v>0.0188</v>
      </c>
      <c r="C15" s="3" t="s">
        <v>285</v>
      </c>
      <c r="D15" s="4" t="n">
        <v>0.0087</v>
      </c>
      <c r="E15" s="3" t="s">
        <v>286</v>
      </c>
    </row>
    <row r="16" customFormat="false" ht="16.5" hidden="false" customHeight="true" outlineLevel="0" collapsed="false">
      <c r="A16" s="3" t="s">
        <v>50</v>
      </c>
      <c r="B16" s="4" t="n">
        <v>0.0023</v>
      </c>
      <c r="C16" s="3" t="s">
        <v>287</v>
      </c>
      <c r="D16" s="5" t="s">
        <v>12</v>
      </c>
      <c r="E16" s="3" t="s">
        <v>12</v>
      </c>
    </row>
    <row r="17" customFormat="false" ht="16.5" hidden="false" customHeight="true" outlineLevel="0" collapsed="false">
      <c r="A17" s="3" t="s">
        <v>53</v>
      </c>
      <c r="B17" s="4" t="n">
        <v>0.0161</v>
      </c>
      <c r="C17" s="3" t="s">
        <v>288</v>
      </c>
      <c r="D17" s="4" t="n">
        <v>0.0097</v>
      </c>
      <c r="E17" s="3" t="s">
        <v>289</v>
      </c>
    </row>
    <row r="18" customFormat="false" ht="16.5" hidden="false" customHeight="true" outlineLevel="0" collapsed="false">
      <c r="A18" s="3" t="s">
        <v>56</v>
      </c>
      <c r="B18" s="4" t="n">
        <v>0.0189</v>
      </c>
      <c r="C18" s="3" t="s">
        <v>290</v>
      </c>
      <c r="D18" s="4" t="n">
        <v>0.0117</v>
      </c>
      <c r="E18" s="3" t="s">
        <v>291</v>
      </c>
    </row>
    <row r="19" customFormat="false" ht="16.5" hidden="false" customHeight="true" outlineLevel="0" collapsed="false">
      <c r="A19" s="3" t="s">
        <v>59</v>
      </c>
      <c r="B19" s="4" t="n">
        <v>0.0163</v>
      </c>
      <c r="C19" s="3" t="s">
        <v>292</v>
      </c>
      <c r="D19" s="4" t="n">
        <v>0.0114</v>
      </c>
      <c r="E19" s="3" t="s">
        <v>293</v>
      </c>
    </row>
    <row r="20" customFormat="false" ht="16.5" hidden="false" customHeight="true" outlineLevel="0" collapsed="false">
      <c r="A20" s="3" t="s">
        <v>62</v>
      </c>
      <c r="B20" s="4" t="n">
        <v>0.0146</v>
      </c>
      <c r="C20" s="3" t="s">
        <v>294</v>
      </c>
      <c r="D20" s="4" t="n">
        <v>0.0112</v>
      </c>
      <c r="E20" s="3" t="s">
        <v>295</v>
      </c>
    </row>
    <row r="21" customFormat="false" ht="16.5" hidden="false" customHeight="true" outlineLevel="0" collapsed="false">
      <c r="A21" s="3" t="s">
        <v>65</v>
      </c>
      <c r="B21" s="4" t="n">
        <v>0.0158</v>
      </c>
      <c r="C21" s="3" t="s">
        <v>296</v>
      </c>
      <c r="D21" s="4" t="n">
        <v>0.0086</v>
      </c>
      <c r="E21" s="3" t="s">
        <v>297</v>
      </c>
    </row>
    <row r="22" customFormat="false" ht="16.5" hidden="false" customHeight="true" outlineLevel="0" collapsed="false">
      <c r="A22" s="3" t="s">
        <v>68</v>
      </c>
      <c r="B22" s="4" t="n">
        <v>0.0202</v>
      </c>
      <c r="C22" s="3" t="s">
        <v>298</v>
      </c>
      <c r="D22" s="4" t="n">
        <v>0.0173</v>
      </c>
      <c r="E22" s="3" t="s">
        <v>299</v>
      </c>
    </row>
    <row r="23" customFormat="false" ht="16.5" hidden="false" customHeight="true" outlineLevel="0" collapsed="false">
      <c r="A23" s="3" t="s">
        <v>71</v>
      </c>
      <c r="B23" s="4" t="n">
        <v>0.013</v>
      </c>
      <c r="C23" s="3" t="s">
        <v>300</v>
      </c>
      <c r="D23" s="4" t="n">
        <v>0.013</v>
      </c>
      <c r="E23" s="3" t="s">
        <v>301</v>
      </c>
    </row>
    <row r="24" customFormat="false" ht="16.5" hidden="false" customHeight="true" outlineLevel="0" collapsed="false">
      <c r="A24" s="3" t="s">
        <v>74</v>
      </c>
      <c r="B24" s="4" t="n">
        <v>0.0133</v>
      </c>
      <c r="C24" s="3" t="s">
        <v>302</v>
      </c>
      <c r="D24" s="4" t="n">
        <v>0.0033</v>
      </c>
      <c r="E24" s="3" t="s">
        <v>303</v>
      </c>
    </row>
    <row r="25" customFormat="false" ht="16.5" hidden="false" customHeight="true" outlineLevel="0" collapsed="false">
      <c r="A25" s="3" t="s">
        <v>77</v>
      </c>
      <c r="B25" s="4" t="n">
        <v>0.0031</v>
      </c>
      <c r="C25" s="3" t="s">
        <v>304</v>
      </c>
      <c r="D25" s="4" t="n">
        <v>0.0046</v>
      </c>
      <c r="E25" s="3" t="s">
        <v>305</v>
      </c>
    </row>
    <row r="26" customFormat="false" ht="16.5" hidden="false" customHeight="true" outlineLevel="0" collapsed="false">
      <c r="A26" s="3" t="s">
        <v>80</v>
      </c>
      <c r="B26" s="4" t="n">
        <v>0.009</v>
      </c>
      <c r="C26" s="3" t="s">
        <v>306</v>
      </c>
      <c r="D26" s="4" t="n">
        <v>0.0204</v>
      </c>
      <c r="E26" s="3" t="s">
        <v>307</v>
      </c>
    </row>
    <row r="27" customFormat="false" ht="16.5" hidden="false" customHeight="true" outlineLevel="0" collapsed="false">
      <c r="A27" s="3" t="s">
        <v>83</v>
      </c>
      <c r="B27" s="4" t="n">
        <v>0.0172</v>
      </c>
      <c r="C27" s="3" t="s">
        <v>308</v>
      </c>
      <c r="D27" s="4" t="n">
        <v>0.0102</v>
      </c>
      <c r="E27" s="3" t="s">
        <v>309</v>
      </c>
    </row>
    <row r="28" customFormat="false" ht="16.5" hidden="false" customHeight="true" outlineLevel="0" collapsed="false">
      <c r="A28" s="3" t="s">
        <v>86</v>
      </c>
      <c r="B28" s="4" t="n">
        <v>0.0155</v>
      </c>
      <c r="C28" s="3" t="s">
        <v>310</v>
      </c>
      <c r="D28" s="4" t="n">
        <v>0.0168</v>
      </c>
      <c r="E28" s="3" t="s">
        <v>311</v>
      </c>
    </row>
    <row r="29" customFormat="false" ht="16.5" hidden="false" customHeight="true" outlineLevel="0" collapsed="false">
      <c r="A29" s="3" t="s">
        <v>89</v>
      </c>
      <c r="B29" s="4" t="n">
        <v>0.0103</v>
      </c>
      <c r="C29" s="3" t="s">
        <v>312</v>
      </c>
      <c r="D29" s="4" t="n">
        <v>0.0101</v>
      </c>
      <c r="E29" s="3" t="s">
        <v>313</v>
      </c>
    </row>
    <row r="30" customFormat="false" ht="16.5" hidden="false" customHeight="true" outlineLevel="0" collapsed="false">
      <c r="A30" s="3" t="s">
        <v>92</v>
      </c>
      <c r="B30" s="4" t="n">
        <v>0.008</v>
      </c>
      <c r="C30" s="3" t="s">
        <v>314</v>
      </c>
      <c r="D30" s="4" t="n">
        <v>0.006</v>
      </c>
      <c r="E30" s="3" t="s">
        <v>315</v>
      </c>
    </row>
    <row r="31" customFormat="false" ht="16.5" hidden="false" customHeight="true" outlineLevel="0" collapsed="false">
      <c r="A31" s="3" t="s">
        <v>95</v>
      </c>
      <c r="B31" s="4" t="n">
        <v>0.0161</v>
      </c>
      <c r="C31" s="3" t="s">
        <v>316</v>
      </c>
      <c r="D31" s="4" t="n">
        <v>0.0052</v>
      </c>
      <c r="E31" s="3" t="s">
        <v>317</v>
      </c>
    </row>
    <row r="32" customFormat="false" ht="16.5" hidden="false" customHeight="true" outlineLevel="0" collapsed="false">
      <c r="A32" s="3" t="s">
        <v>98</v>
      </c>
      <c r="B32" s="4" t="n">
        <v>0.0258</v>
      </c>
      <c r="C32" s="3" t="s">
        <v>318</v>
      </c>
      <c r="D32" s="4" t="n">
        <v>0.0255</v>
      </c>
      <c r="E32" s="3" t="s">
        <v>319</v>
      </c>
    </row>
    <row r="33" customFormat="false" ht="16.5" hidden="false" customHeight="true" outlineLevel="0" collapsed="false">
      <c r="A33" s="3" t="s">
        <v>101</v>
      </c>
      <c r="B33" s="4" t="n">
        <v>0.0271</v>
      </c>
      <c r="C33" s="3" t="s">
        <v>320</v>
      </c>
      <c r="D33" s="4" t="n">
        <v>0.0241</v>
      </c>
      <c r="E33" s="3" t="s">
        <v>321</v>
      </c>
    </row>
    <row r="34" customFormat="false" ht="16.5" hidden="false" customHeight="true" outlineLevel="0" collapsed="false">
      <c r="A34" s="3" t="s">
        <v>104</v>
      </c>
      <c r="B34" s="4" t="n">
        <v>0.0342</v>
      </c>
      <c r="C34" s="3" t="s">
        <v>322</v>
      </c>
      <c r="D34" s="4" t="n">
        <v>0.0142</v>
      </c>
      <c r="E34" s="3" t="s">
        <v>323</v>
      </c>
    </row>
    <row r="35" customFormat="false" ht="16.5" hidden="false" customHeight="true" outlineLevel="0" collapsed="false">
      <c r="A35" s="3" t="s">
        <v>107</v>
      </c>
      <c r="B35" s="4" t="n">
        <v>0.0113</v>
      </c>
      <c r="C35" s="3" t="s">
        <v>324</v>
      </c>
      <c r="D35" s="4" t="n">
        <v>0.0082</v>
      </c>
      <c r="E35" s="3" t="s">
        <v>325</v>
      </c>
    </row>
    <row r="36" customFormat="false" ht="16.5" hidden="false" customHeight="true" outlineLevel="0" collapsed="false">
      <c r="A36" s="3" t="s">
        <v>110</v>
      </c>
      <c r="B36" s="4" t="n">
        <v>0.0095</v>
      </c>
      <c r="C36" s="3" t="s">
        <v>326</v>
      </c>
      <c r="D36" s="4" t="n">
        <v>0.0079</v>
      </c>
      <c r="E36" s="3" t="s">
        <v>327</v>
      </c>
    </row>
    <row r="37" customFormat="false" ht="16.5" hidden="false" customHeight="true" outlineLevel="0" collapsed="false">
      <c r="A37" s="3" t="s">
        <v>113</v>
      </c>
      <c r="B37" s="4" t="n">
        <v>0.0119</v>
      </c>
      <c r="C37" s="3" t="s">
        <v>328</v>
      </c>
      <c r="D37" s="4" t="n">
        <v>0.0114</v>
      </c>
      <c r="E37" s="3" t="s">
        <v>329</v>
      </c>
    </row>
    <row r="38" customFormat="false" ht="13.5" hidden="false" customHeight="true" outlineLevel="0" collapsed="false">
      <c r="A38" s="6" t="s">
        <v>330</v>
      </c>
      <c r="B38" s="6"/>
      <c r="C38" s="6"/>
      <c r="D38" s="6"/>
      <c r="E38" s="6"/>
    </row>
  </sheetData>
  <mergeCells count="2">
    <mergeCell ref="A1:E1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2026-05-31T12:02:27Z</dcterms:created>
  <dc:creator>openpyxl</dc:creator>
  <dc:description/>
  <dc:language>en-US</dc:language>
  <cp:lastModifiedBy/>
  <dcterms:modified xsi:type="dcterms:W3CDTF">2026-05-31T12:02:27Z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