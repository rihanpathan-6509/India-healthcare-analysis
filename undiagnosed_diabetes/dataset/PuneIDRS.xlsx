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RS_Risk_Distribution" sheetId="1" state="visible" r:id="rId3"/>
    <sheet name="Blood_Glucose_Testing" sheetId="2" state="visible" r:id="rId4"/>
    <sheet name="Univariate_HighRisk" sheetId="3" state="visible" r:id="rId5"/>
    <sheet name="Univariate_ModerateRisk" sheetId="4" state="visible" r:id="rId6"/>
    <sheet name="Multivariate_Regression" sheetId="5" state="visible" r:id="rId7"/>
    <sheet name="Baseline_Characterist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<sst xmlns="http://schemas.openxmlformats.org/spreadsheetml/2006/main" count="396" uniqueCount="252">
  <si>
    <t xml:space="preserve">IDRS Risk Distribution — Urban Slum, Pune (n = 383)</t>
  </si>
  <si>
    <t xml:space="preserve">Risk Category</t>
  </si>
  <si>
    <t xml:space="preserve">IDRS Threshold</t>
  </si>
  <si>
    <t xml:space="preserve">N</t>
  </si>
  <si>
    <t xml:space="preserve">Percentage %</t>
  </si>
  <si>
    <t xml:space="preserve">Blood Glucose Findings</t>
  </si>
  <si>
    <t xml:space="preserve">High Risk</t>
  </si>
  <si>
    <t xml:space="preserve">IDRS ≥ 60</t>
  </si>
  <si>
    <t xml:space="preserve">68 (49%) had glucose ≥ 110 mg/dL</t>
  </si>
  <si>
    <t xml:space="preserve">Moderate Risk</t>
  </si>
  <si>
    <t xml:space="preserve">IDRS 30–59</t>
  </si>
  <si>
    <t xml:space="preserve">—</t>
  </si>
  <si>
    <t xml:space="preserve">Low Risk</t>
  </si>
  <si>
    <t xml:space="preserve">IDRS &lt; 30</t>
  </si>
  <si>
    <t xml:space="preserve">Total</t>
  </si>
  <si>
    <t xml:space="preserve">Source: Patil RS, Gothankar JS. WHO South-East Asia J Public Health 2016; 5(1): 53–61. Table 1.</t>
  </si>
  <si>
    <t xml:space="preserve">Blood Glucose Testing in High-Risk Group (IDRS ≥ 60, n = 140)</t>
  </si>
  <si>
    <t xml:space="preserve">Glucose Band (mg/dL)</t>
  </si>
  <si>
    <t xml:space="preserve">% of High-Risk Group</t>
  </si>
  <si>
    <t xml:space="preserve">Interpretation</t>
  </si>
  <si>
    <t xml:space="preserve">110–140</t>
  </si>
  <si>
    <t xml:space="preserve">Borderline / Pre-diabetic — OGTT recommended</t>
  </si>
  <si>
    <t xml:space="preserve">≥ 140</t>
  </si>
  <si>
    <t xml:space="preserve">Likely undiagnosed diabetes — OGTT recommended</t>
  </si>
  <si>
    <t xml:space="preserve">≥ 110 (total)</t>
  </si>
  <si>
    <t xml:space="preserve">Combined: require formal confirmation</t>
  </si>
  <si>
    <t xml:space="preserve">&lt; 110</t>
  </si>
  <si>
    <t xml:space="preserve">Below threshold — continue monitoring</t>
  </si>
  <si>
    <t xml:space="preserve">Source: Patil &amp; Gothankar 2016, Results section. Random capillary blood glucose via Accu-Check glucometer.</t>
  </si>
  <si>
    <t xml:space="preserve">Univariate Logistic Regression — High-Risk vs Low-Risk Group (Table 2)</t>
  </si>
  <si>
    <t xml:space="preserve">Characteristic</t>
  </si>
  <si>
    <t xml:space="preserve">N High-Risk (%)</t>
  </si>
  <si>
    <t xml:space="preserve">N Low-Risk (%)</t>
  </si>
  <si>
    <t xml:space="preserve">Odds Ratio</t>
  </si>
  <si>
    <t xml:space="preserve">95% CI</t>
  </si>
  <si>
    <t xml:space="preserve">P Value</t>
  </si>
  <si>
    <t xml:space="preserve">SEX</t>
  </si>
  <si>
    <t xml:space="preserve">Male</t>
  </si>
  <si>
    <t xml:space="preserve">41 (29.3)</t>
  </si>
  <si>
    <t xml:space="preserve">10 (29.4)</t>
  </si>
  <si>
    <t xml:space="preserve">Female</t>
  </si>
  <si>
    <t xml:space="preserve">99 (70.7)</t>
  </si>
  <si>
    <t xml:space="preserve">24 (70.6)</t>
  </si>
  <si>
    <t xml:space="preserve">0.44–2.29</t>
  </si>
  <si>
    <t xml:space="preserve">0.988</t>
  </si>
  <si>
    <t xml:space="preserve">EDUCATION</t>
  </si>
  <si>
    <t xml:space="preserve">Illiterate</t>
  </si>
  <si>
    <t xml:space="preserve">48 (34.3)</t>
  </si>
  <si>
    <t xml:space="preserve">2 (5.9)</t>
  </si>
  <si>
    <t xml:space="preserve">Primary</t>
  </si>
  <si>
    <t xml:space="preserve">20 (14.3)</t>
  </si>
  <si>
    <t xml:space="preserve">4 (11.8)</t>
  </si>
  <si>
    <t xml:space="preserve">2.05–44.90</t>
  </si>
  <si>
    <t xml:space="preserve">0.004</t>
  </si>
  <si>
    <t xml:space="preserve">Secondary</t>
  </si>
  <si>
    <t xml:space="preserve">37 (26.4)</t>
  </si>
  <si>
    <t xml:space="preserve">14 (41.2)</t>
  </si>
  <si>
    <t xml:space="preserve">0.57–6.91</t>
  </si>
  <si>
    <t xml:space="preserve">0.273</t>
  </si>
  <si>
    <t xml:space="preserve">Higher secondary and above</t>
  </si>
  <si>
    <t xml:space="preserve">35 (25.0)</t>
  </si>
  <si>
    <t xml:space="preserve">0.44–2.53</t>
  </si>
  <si>
    <t xml:space="preserve">0.901</t>
  </si>
  <si>
    <t xml:space="preserve">SOCIOECONOMIC CLASS</t>
  </si>
  <si>
    <t xml:space="preserve">Class 1</t>
  </si>
  <si>
    <t xml:space="preserve">10 (7.1)</t>
  </si>
  <si>
    <t xml:space="preserve">Class 2</t>
  </si>
  <si>
    <t xml:space="preserve">28 (20.0)</t>
  </si>
  <si>
    <t xml:space="preserve">0.42–10.74</t>
  </si>
  <si>
    <t xml:space="preserve">0.362</t>
  </si>
  <si>
    <t xml:space="preserve">Class 3</t>
  </si>
  <si>
    <t xml:space="preserve">62 (44.3)</t>
  </si>
  <si>
    <t xml:space="preserve">5 (14.7)</t>
  </si>
  <si>
    <t xml:space="preserve">0.47–2.98</t>
  </si>
  <si>
    <t xml:space="preserve">0.071</t>
  </si>
  <si>
    <t xml:space="preserve">Class 4 &amp; 5</t>
  </si>
  <si>
    <t xml:space="preserve">40 (28.6)</t>
  </si>
  <si>
    <t xml:space="preserve">17 (50.0)</t>
  </si>
  <si>
    <t xml:space="preserve">1.80–15.41</t>
  </si>
  <si>
    <t xml:space="preserve">0.002</t>
  </si>
  <si>
    <t xml:space="preserve">FAMILY HISTORY</t>
  </si>
  <si>
    <t xml:space="preserve">No</t>
  </si>
  <si>
    <t xml:space="preserve">116 (82.9)</t>
  </si>
  <si>
    <t xml:space="preserve">32 (94.1)</t>
  </si>
  <si>
    <t xml:space="preserve">Yes</t>
  </si>
  <si>
    <t xml:space="preserve">24 (17.1)</t>
  </si>
  <si>
    <t xml:space="preserve">0.74–14.75</t>
  </si>
  <si>
    <t xml:space="preserve">0.116</t>
  </si>
  <si>
    <t xml:space="preserve">PHYSICAL ACTIVITY</t>
  </si>
  <si>
    <t xml:space="preserve">Sedentary to mild</t>
  </si>
  <si>
    <t xml:space="preserve">121 (86.4)</t>
  </si>
  <si>
    <t xml:space="preserve">19 (55.9)</t>
  </si>
  <si>
    <t xml:space="preserve">Moderate to vigorous</t>
  </si>
  <si>
    <t xml:space="preserve">19 (13.6)</t>
  </si>
  <si>
    <t xml:space="preserve">15 (44.1)</t>
  </si>
  <si>
    <t xml:space="preserve">0.09–0.45</t>
  </si>
  <si>
    <t xml:space="preserve">&lt; 0.001</t>
  </si>
  <si>
    <t xml:space="preserve">WAIST CIRCUMFERENCE</t>
  </si>
  <si>
    <t xml:space="preserve">Men &lt; 90 cm / Women &lt; 80 cm</t>
  </si>
  <si>
    <t xml:space="preserve">30 (21.4)</t>
  </si>
  <si>
    <t xml:space="preserve">30 (88.2)</t>
  </si>
  <si>
    <t xml:space="preserve">Men ≥ 90 cm / Women ≥ 80 cm</t>
  </si>
  <si>
    <t xml:space="preserve">110 (78.6)</t>
  </si>
  <si>
    <t xml:space="preserve">8.98–84.17</t>
  </si>
  <si>
    <t xml:space="preserve">Source: Patil &amp; Gothankar 2016, Table 2. High-risk = IDRS ≥ 60 (n=140); Low-risk = IDRS &lt; 30 (n=34).</t>
  </si>
  <si>
    <t xml:space="preserve">Univariate Logistic Regression — Moderate-Risk vs Low-Risk Group (Table 3)</t>
  </si>
  <si>
    <t xml:space="preserve">N Moderate-Risk (%)</t>
  </si>
  <si>
    <t xml:space="preserve">87 (41.6)</t>
  </si>
  <si>
    <t xml:space="preserve">122 (58.4)</t>
  </si>
  <si>
    <t xml:space="preserve">0.26–1.28</t>
  </si>
  <si>
    <t xml:space="preserve">0.181</t>
  </si>
  <si>
    <t xml:space="preserve">35 (16.7)</t>
  </si>
  <si>
    <t xml:space="preserve">30 (14.4)</t>
  </si>
  <si>
    <t xml:space="preserve">0.69–14.95</t>
  </si>
  <si>
    <t xml:space="preserve">0.135</t>
  </si>
  <si>
    <t xml:space="preserve">68 (32.5)</t>
  </si>
  <si>
    <t xml:space="preserve">0.42–4.53</t>
  </si>
  <si>
    <t xml:space="preserve">0.594</t>
  </si>
  <si>
    <t xml:space="preserve">76 (36.4)</t>
  </si>
  <si>
    <t xml:space="preserve">0.39–2.01</t>
  </si>
  <si>
    <t xml:space="preserve">0.788</t>
  </si>
  <si>
    <t xml:space="preserve">19 (9.1)</t>
  </si>
  <si>
    <t xml:space="preserve">61 (29.2)</t>
  </si>
  <si>
    <t xml:space="preserve">0.84–19.28</t>
  </si>
  <si>
    <t xml:space="preserve">0.080</t>
  </si>
  <si>
    <t xml:space="preserve">89 (42.6)</t>
  </si>
  <si>
    <t xml:space="preserve">1.07–6.23</t>
  </si>
  <si>
    <t xml:space="preserve">0.033</t>
  </si>
  <si>
    <t xml:space="preserve">40 (19.1)</t>
  </si>
  <si>
    <t xml:space="preserve">2.60–21.93</t>
  </si>
  <si>
    <t xml:space="preserve">193 (92.3)</t>
  </si>
  <si>
    <t xml:space="preserve">16 (7.7)</t>
  </si>
  <si>
    <t xml:space="preserve">0.29–6.04</t>
  </si>
  <si>
    <t xml:space="preserve">0.715</t>
  </si>
  <si>
    <t xml:space="preserve">115 (55.0)</t>
  </si>
  <si>
    <t xml:space="preserve">94 (45.0)</t>
  </si>
  <si>
    <t xml:space="preserve">0.49–2.14</t>
  </si>
  <si>
    <t xml:space="preserve">0.926</t>
  </si>
  <si>
    <t xml:space="preserve">126 (60.3)</t>
  </si>
  <si>
    <t xml:space="preserve">83 (39.7)</t>
  </si>
  <si>
    <t xml:space="preserve">1.67–14.54</t>
  </si>
  <si>
    <t xml:space="preserve">Source: Patil &amp; Gothankar 2016, Table 3. Moderate-risk = IDRS 30–59 (n=209); Low-risk = IDRS &lt; 30 (n=34).</t>
  </si>
  <si>
    <t xml:space="preserve">Multivariate Logistic Regression — High + Moderate vs Low-Risk Group (Table 4)</t>
  </si>
  <si>
    <t xml:space="preserve">0.09–1.61</t>
  </si>
  <si>
    <t xml:space="preserve">0.193</t>
  </si>
  <si>
    <t xml:space="preserve">0.019–19.71</t>
  </si>
  <si>
    <t xml:space="preserve">0.777</t>
  </si>
  <si>
    <t xml:space="preserve">0.09–4.96</t>
  </si>
  <si>
    <t xml:space="preserve">0.684</t>
  </si>
  <si>
    <t xml:space="preserve">0.05–0.96</t>
  </si>
  <si>
    <t xml:space="preserve">0.044 *</t>
  </si>
  <si>
    <t xml:space="preserve">0.21–28.86</t>
  </si>
  <si>
    <t xml:space="preserve">0.475</t>
  </si>
  <si>
    <t xml:space="preserve">0.20–4.47</t>
  </si>
  <si>
    <t xml:space="preserve">0.953</t>
  </si>
  <si>
    <t xml:space="preserve">0.41–10.32</t>
  </si>
  <si>
    <t xml:space="preserve">0.380</t>
  </si>
  <si>
    <t xml:space="preserve">0.93–165.80</t>
  </si>
  <si>
    <t xml:space="preserve">0.057</t>
  </si>
  <si>
    <t xml:space="preserve">0.02–0.49</t>
  </si>
  <si>
    <t xml:space="preserve">0.005 *</t>
  </si>
  <si>
    <t xml:space="preserve">7.52–299.30</t>
  </si>
  <si>
    <t xml:space="preserve">&lt; 0.001 ***</t>
  </si>
  <si>
    <t xml:space="preserve">Source: Patil &amp; Gothankar 2016, Table 4. * p &lt; 0.05; *** p &lt; 0.001. Ref category = Low-risk (IDRS &lt; 30, n=34).</t>
  </si>
  <si>
    <t xml:space="preserve">Baseline Characteristics of Study Participants (Table 1, n = 383)</t>
  </si>
  <si>
    <t xml:space="preserve">Total n (%)</t>
  </si>
  <si>
    <t xml:space="preserve">High Risk n (%)
IDRS ≥ 60</t>
  </si>
  <si>
    <t xml:space="preserve">Moderate Risk n (%)
IDRS 30–59</t>
  </si>
  <si>
    <t xml:space="preserve">Low Risk n (%)
IDRS &lt; 30</t>
  </si>
  <si>
    <t xml:space="preserve">Chi-sq P Value</t>
  </si>
  <si>
    <t xml:space="preserve">138 (36.1)</t>
  </si>
  <si>
    <t xml:space="preserve">41 (29.7)</t>
  </si>
  <si>
    <t xml:space="preserve">87 (63.1)</t>
  </si>
  <si>
    <t xml:space="preserve">10 (7.2)</t>
  </si>
  <si>
    <t xml:space="preserve">0.044</t>
  </si>
  <si>
    <t xml:space="preserve">245 (63.9)</t>
  </si>
  <si>
    <t xml:space="preserve">99 (40.4)</t>
  </si>
  <si>
    <t xml:space="preserve">122 (49.8)</t>
  </si>
  <si>
    <t xml:space="preserve">24 (9.8)</t>
  </si>
  <si>
    <t xml:space="preserve">85 (22.2)</t>
  </si>
  <si>
    <t xml:space="preserve">48 (56.5)</t>
  </si>
  <si>
    <t xml:space="preserve">35 (41.2)</t>
  </si>
  <si>
    <t xml:space="preserve">2 (2.3)</t>
  </si>
  <si>
    <t xml:space="preserve">0.001</t>
  </si>
  <si>
    <t xml:space="preserve">54 (14.1)</t>
  </si>
  <si>
    <t xml:space="preserve">20 (37.0)</t>
  </si>
  <si>
    <t xml:space="preserve">30 (55.6)</t>
  </si>
  <si>
    <t xml:space="preserve">4 (7.4)</t>
  </si>
  <si>
    <t xml:space="preserve">119 (31.1)</t>
  </si>
  <si>
    <t xml:space="preserve">37 (31.1)</t>
  </si>
  <si>
    <t xml:space="preserve">68 (57.1)</t>
  </si>
  <si>
    <t xml:space="preserve">14 (11.8)</t>
  </si>
  <si>
    <t xml:space="preserve">125 (32.6)</t>
  </si>
  <si>
    <t xml:space="preserve">35 (28.0)</t>
  </si>
  <si>
    <t xml:space="preserve">76 (60.8)</t>
  </si>
  <si>
    <t xml:space="preserve">14 (11.2)</t>
  </si>
  <si>
    <t xml:space="preserve">31 (8.1)</t>
  </si>
  <si>
    <t xml:space="preserve">10 (32.3)</t>
  </si>
  <si>
    <t xml:space="preserve">19 (61.3)</t>
  </si>
  <si>
    <t xml:space="preserve">2 (6.4)</t>
  </si>
  <si>
    <t xml:space="preserve">99 (25.8)</t>
  </si>
  <si>
    <t xml:space="preserve">28 (28.3)</t>
  </si>
  <si>
    <t xml:space="preserve">61 (61.6)</t>
  </si>
  <si>
    <t xml:space="preserve">10 (10.1)</t>
  </si>
  <si>
    <t xml:space="preserve">156 (40.7)</t>
  </si>
  <si>
    <t xml:space="preserve">62 (39.7)</t>
  </si>
  <si>
    <t xml:space="preserve">89 (57.1)</t>
  </si>
  <si>
    <t xml:space="preserve">5 (3.2)</t>
  </si>
  <si>
    <t xml:space="preserve">97 (25.3)</t>
  </si>
  <si>
    <t xml:space="preserve">40 (41.2)</t>
  </si>
  <si>
    <t xml:space="preserve">17 (17.5)</t>
  </si>
  <si>
    <t xml:space="preserve">AGE (years)</t>
  </si>
  <si>
    <t xml:space="preserve">20–34</t>
  </si>
  <si>
    <t xml:space="preserve">59 (15.4)</t>
  </si>
  <si>
    <t xml:space="preserve">0 (0)</t>
  </si>
  <si>
    <t xml:space="preserve">29 (49.2)</t>
  </si>
  <si>
    <t xml:space="preserve">30 (50.8)</t>
  </si>
  <si>
    <t xml:space="preserve">35–49</t>
  </si>
  <si>
    <t xml:space="preserve">185 (48.3)</t>
  </si>
  <si>
    <t xml:space="preserve">46 (24.9)</t>
  </si>
  <si>
    <t xml:space="preserve">135 (73.0)</t>
  </si>
  <si>
    <t xml:space="preserve">4 (2.2)</t>
  </si>
  <si>
    <t xml:space="preserve">≥ 50</t>
  </si>
  <si>
    <t xml:space="preserve">139 (36.3)</t>
  </si>
  <si>
    <t xml:space="preserve">94 (67.6)</t>
  </si>
  <si>
    <t xml:space="preserve">45 (32.4)</t>
  </si>
  <si>
    <t xml:space="preserve">FAMILY HISTORY OF DIABETES</t>
  </si>
  <si>
    <t xml:space="preserve">42 (11.0)</t>
  </si>
  <si>
    <t xml:space="preserve">24 (57.1)</t>
  </si>
  <si>
    <t xml:space="preserve">16 (38.1)</t>
  </si>
  <si>
    <t xml:space="preserve">2 (4.8)</t>
  </si>
  <si>
    <t xml:space="preserve">0.012</t>
  </si>
  <si>
    <t xml:space="preserve">341 (89.0)</t>
  </si>
  <si>
    <t xml:space="preserve">116 (34.0)</t>
  </si>
  <si>
    <t xml:space="preserve">193 (56.6)</t>
  </si>
  <si>
    <t xml:space="preserve">32 (9.4)</t>
  </si>
  <si>
    <t xml:space="preserve">255 (66.6)</t>
  </si>
  <si>
    <t xml:space="preserve">121 (47.5)</t>
  </si>
  <si>
    <t xml:space="preserve">115 (45.1)</t>
  </si>
  <si>
    <t xml:space="preserve">19 (7.5)</t>
  </si>
  <si>
    <t xml:space="preserve">128 (33.4)</t>
  </si>
  <si>
    <t xml:space="preserve">19 (14.8)</t>
  </si>
  <si>
    <t xml:space="preserve">94 (73.4)</t>
  </si>
  <si>
    <t xml:space="preserve">15 (11.7)</t>
  </si>
  <si>
    <t xml:space="preserve">186 (48.6)</t>
  </si>
  <si>
    <t xml:space="preserve">30 (16.1)</t>
  </si>
  <si>
    <t xml:space="preserve">126 (67.7)</t>
  </si>
  <si>
    <t xml:space="preserve">197 (51.4)</t>
  </si>
  <si>
    <t xml:space="preserve">110 (55.8)</t>
  </si>
  <si>
    <t xml:space="preserve">83 (42.1)</t>
  </si>
  <si>
    <t xml:space="preserve">4 (2.0)</t>
  </si>
  <si>
    <t xml:space="preserve">Source: Patil &amp; Gothankar 2016, Table 1. Study area: Joshiwada, Ganjwewada, Mangwada slums, Pune. Period: Sep 2011–Aug 2012.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</si>
</sst>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8" hidden="false" customHeight="true" outlineLevel="0" collapsed="false">
      <c r="A3" s="3" t="s">
        <v>6</v>
      </c>
      <c r="B3" s="4" t="s">
        <v>7</v>
      </c>
      <c r="C3" s="4" t="n">
        <v>140</v>
      </c>
      <c r="D3" s="5" t="n">
        <v>36.6</v>
      </c>
      <c r="E3" s="6" t="s">
        <v>8</v>
      </c>
    </row>
    <row r="4" customFormat="false" ht="18" hidden="false" customHeight="true" outlineLevel="0" collapsed="false">
      <c r="A4" s="3" t="s">
        <v>9</v>
      </c>
      <c r="B4" s="4" t="s">
        <v>10</v>
      </c>
      <c r="C4" s="4" t="n">
        <v>209</v>
      </c>
      <c r="D4" s="5" t="n">
        <v>54.6</v>
      </c>
      <c r="E4" s="6" t="s">
        <v>11</v>
      </c>
    </row>
    <row r="5" customFormat="false" ht="18" hidden="false" customHeight="true" outlineLevel="0" collapsed="false">
      <c r="A5" s="3" t="s">
        <v>12</v>
      </c>
      <c r="B5" s="4" t="s">
        <v>13</v>
      </c>
      <c r="C5" s="4" t="n">
        <v>34</v>
      </c>
      <c r="D5" s="5" t="n">
        <v>8.9</v>
      </c>
      <c r="E5" s="6" t="s">
        <v>11</v>
      </c>
    </row>
    <row r="6" customFormat="false" ht="18" hidden="false" customHeight="true" outlineLevel="0" collapsed="false">
      <c r="A6" s="7" t="s">
        <v>14</v>
      </c>
      <c r="B6" s="7"/>
      <c r="C6" s="8" t="n">
        <f aca="false">SUM(C3:C5)</f>
        <v>383</v>
      </c>
      <c r="D6" s="9" t="n">
        <f aca="false">SUM(D3:D5)</f>
        <v>100.1</v>
      </c>
      <c r="E6" s="7"/>
    </row>
    <row r="7" customFormat="false" ht="13.5" hidden="false" customHeight="true" outlineLevel="0" collapsed="false">
      <c r="A7" s="10" t="s">
        <v>15</v>
      </c>
      <c r="B7" s="10"/>
      <c r="C7" s="10"/>
      <c r="D7" s="10"/>
      <c r="E7" s="10"/>
    </row>
  </sheetData>
  <mergeCells count="2">
    <mergeCell ref="A1:E1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44"/>
  </cols>
  <sheetData>
    <row r="1" customFormat="false" ht="24.75" hidden="false" customHeight="true" outlineLevel="0" collapsed="false">
      <c r="A1" s="1" t="s">
        <v>16</v>
      </c>
      <c r="B1" s="1"/>
      <c r="C1" s="1"/>
      <c r="D1" s="1"/>
    </row>
    <row r="2" customFormat="false" ht="30" hidden="false" customHeight="true" outlineLevel="0" collapsed="false">
      <c r="A2" s="2" t="s">
        <v>17</v>
      </c>
      <c r="B2" s="2" t="s">
        <v>3</v>
      </c>
      <c r="C2" s="2" t="s">
        <v>18</v>
      </c>
      <c r="D2" s="2" t="s">
        <v>19</v>
      </c>
    </row>
    <row r="3" customFormat="false" ht="18" hidden="false" customHeight="true" outlineLevel="0" collapsed="false">
      <c r="A3" s="4" t="s">
        <v>20</v>
      </c>
      <c r="B3" s="4" t="n">
        <v>61</v>
      </c>
      <c r="C3" s="5" t="n">
        <v>43.6</v>
      </c>
      <c r="D3" s="6" t="s">
        <v>21</v>
      </c>
    </row>
    <row r="4" customFormat="false" ht="18" hidden="false" customHeight="true" outlineLevel="0" collapsed="false">
      <c r="A4" s="4" t="s">
        <v>22</v>
      </c>
      <c r="B4" s="4" t="n">
        <v>7</v>
      </c>
      <c r="C4" s="5" t="n">
        <v>5</v>
      </c>
      <c r="D4" s="6" t="s">
        <v>23</v>
      </c>
    </row>
    <row r="5" customFormat="false" ht="18" hidden="false" customHeight="true" outlineLevel="0" collapsed="false">
      <c r="A5" s="11" t="s">
        <v>24</v>
      </c>
      <c r="B5" s="11" t="n">
        <v>68</v>
      </c>
      <c r="C5" s="12" t="n">
        <v>49</v>
      </c>
      <c r="D5" s="3" t="s">
        <v>25</v>
      </c>
    </row>
    <row r="6" customFormat="false" ht="18" hidden="false" customHeight="true" outlineLevel="0" collapsed="false">
      <c r="A6" s="4" t="s">
        <v>26</v>
      </c>
      <c r="B6" s="4" t="n">
        <v>72</v>
      </c>
      <c r="C6" s="5" t="n">
        <v>51.4</v>
      </c>
      <c r="D6" s="6" t="s">
        <v>27</v>
      </c>
    </row>
    <row r="7" customFormat="false" ht="13.5" hidden="false" customHeight="true" outlineLevel="0" collapsed="false">
      <c r="A7" s="10" t="s">
        <v>28</v>
      </c>
      <c r="B7" s="10"/>
      <c r="C7" s="10"/>
      <c r="D7" s="10"/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4.75" hidden="false" customHeight="true" outlineLevel="0" collapsed="false">
      <c r="A1" s="1" t="s">
        <v>29</v>
      </c>
      <c r="B1" s="1"/>
      <c r="C1" s="1"/>
      <c r="D1" s="1"/>
      <c r="E1" s="1"/>
    </row>
    <row r="2" customFormat="false" ht="30" hidden="false" customHeight="tru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</row>
    <row r="3" customFormat="false" ht="16.5" hidden="false" customHeight="true" outlineLevel="0" collapsed="false">
      <c r="A3" s="13" t="s">
        <v>36</v>
      </c>
      <c r="B3" s="14"/>
      <c r="C3" s="14"/>
      <c r="D3" s="14"/>
      <c r="E3" s="14"/>
      <c r="F3" s="14"/>
    </row>
    <row r="4" customFormat="false" ht="16.5" hidden="false" customHeight="true" outlineLevel="0" collapsed="false">
      <c r="A4" s="15" t="s">
        <v>37</v>
      </c>
      <c r="B4" s="16" t="s">
        <v>38</v>
      </c>
      <c r="C4" s="16" t="s">
        <v>39</v>
      </c>
      <c r="D4" s="16" t="n">
        <v>1</v>
      </c>
      <c r="E4" s="16" t="s">
        <v>11</v>
      </c>
      <c r="F4" s="16" t="s">
        <v>11</v>
      </c>
    </row>
    <row r="5" customFormat="false" ht="16.5" hidden="false" customHeight="true" outlineLevel="0" collapsed="false">
      <c r="A5" s="15" t="s">
        <v>40</v>
      </c>
      <c r="B5" s="16" t="s">
        <v>41</v>
      </c>
      <c r="C5" s="16" t="s">
        <v>42</v>
      </c>
      <c r="D5" s="16" t="n">
        <v>1.01</v>
      </c>
      <c r="E5" s="16" t="s">
        <v>43</v>
      </c>
      <c r="F5" s="16" t="s">
        <v>44</v>
      </c>
    </row>
    <row r="6" customFormat="false" ht="16.5" hidden="false" customHeight="true" outlineLevel="0" collapsed="false">
      <c r="A6" s="13" t="s">
        <v>45</v>
      </c>
      <c r="B6" s="14"/>
      <c r="C6" s="14"/>
      <c r="D6" s="14"/>
      <c r="E6" s="14"/>
      <c r="F6" s="14"/>
    </row>
    <row r="7" customFormat="false" ht="16.5" hidden="false" customHeight="true" outlineLevel="0" collapsed="false">
      <c r="A7" s="15" t="s">
        <v>46</v>
      </c>
      <c r="B7" s="16" t="s">
        <v>47</v>
      </c>
      <c r="C7" s="16" t="s">
        <v>48</v>
      </c>
      <c r="D7" s="16" t="n">
        <v>1</v>
      </c>
      <c r="E7" s="16" t="s">
        <v>11</v>
      </c>
      <c r="F7" s="16" t="s">
        <v>11</v>
      </c>
    </row>
    <row r="8" customFormat="false" ht="16.5" hidden="false" customHeight="true" outlineLevel="0" collapsed="false">
      <c r="A8" s="15" t="s">
        <v>49</v>
      </c>
      <c r="B8" s="16" t="s">
        <v>50</v>
      </c>
      <c r="C8" s="16" t="s">
        <v>51</v>
      </c>
      <c r="D8" s="16" t="n">
        <v>9.6</v>
      </c>
      <c r="E8" s="16" t="s">
        <v>52</v>
      </c>
      <c r="F8" s="16" t="s">
        <v>53</v>
      </c>
    </row>
    <row r="9" customFormat="false" ht="16.5" hidden="false" customHeight="true" outlineLevel="0" collapsed="false">
      <c r="A9" s="15" t="s">
        <v>54</v>
      </c>
      <c r="B9" s="16" t="s">
        <v>55</v>
      </c>
      <c r="C9" s="16" t="s">
        <v>56</v>
      </c>
      <c r="D9" s="16" t="n">
        <v>2</v>
      </c>
      <c r="E9" s="16" t="s">
        <v>57</v>
      </c>
      <c r="F9" s="16" t="s">
        <v>58</v>
      </c>
    </row>
    <row r="10" customFormat="false" ht="16.5" hidden="false" customHeight="true" outlineLevel="0" collapsed="false">
      <c r="A10" s="15" t="s">
        <v>59</v>
      </c>
      <c r="B10" s="16" t="s">
        <v>60</v>
      </c>
      <c r="C10" s="16" t="s">
        <v>56</v>
      </c>
      <c r="D10" s="16" t="n">
        <v>1.05</v>
      </c>
      <c r="E10" s="16" t="s">
        <v>61</v>
      </c>
      <c r="F10" s="16" t="s">
        <v>62</v>
      </c>
    </row>
    <row r="11" customFormat="false" ht="16.5" hidden="false" customHeight="true" outlineLevel="0" collapsed="false">
      <c r="A11" s="13" t="s">
        <v>63</v>
      </c>
      <c r="B11" s="14"/>
      <c r="C11" s="14"/>
      <c r="D11" s="14"/>
      <c r="E11" s="14"/>
      <c r="F11" s="14"/>
    </row>
    <row r="12" customFormat="false" ht="16.5" hidden="false" customHeight="true" outlineLevel="0" collapsed="false">
      <c r="A12" s="15" t="s">
        <v>64</v>
      </c>
      <c r="B12" s="16" t="s">
        <v>65</v>
      </c>
      <c r="C12" s="16" t="s">
        <v>48</v>
      </c>
      <c r="D12" s="16" t="n">
        <v>1</v>
      </c>
      <c r="E12" s="16" t="s">
        <v>11</v>
      </c>
      <c r="F12" s="16" t="s">
        <v>11</v>
      </c>
    </row>
    <row r="13" customFormat="false" ht="16.5" hidden="false" customHeight="true" outlineLevel="0" collapsed="false">
      <c r="A13" s="15" t="s">
        <v>66</v>
      </c>
      <c r="B13" s="16" t="s">
        <v>67</v>
      </c>
      <c r="C13" s="16" t="s">
        <v>39</v>
      </c>
      <c r="D13" s="16" t="n">
        <v>2.12</v>
      </c>
      <c r="E13" s="16" t="s">
        <v>68</v>
      </c>
      <c r="F13" s="16" t="s">
        <v>69</v>
      </c>
    </row>
    <row r="14" customFormat="false" ht="16.5" hidden="false" customHeight="true" outlineLevel="0" collapsed="false">
      <c r="A14" s="15" t="s">
        <v>70</v>
      </c>
      <c r="B14" s="16" t="s">
        <v>71</v>
      </c>
      <c r="C14" s="16" t="s">
        <v>72</v>
      </c>
      <c r="D14" s="16" t="n">
        <v>1.19</v>
      </c>
      <c r="E14" s="16" t="s">
        <v>73</v>
      </c>
      <c r="F14" s="16" t="s">
        <v>74</v>
      </c>
    </row>
    <row r="15" customFormat="false" ht="16.5" hidden="false" customHeight="true" outlineLevel="0" collapsed="false">
      <c r="A15" s="15" t="s">
        <v>75</v>
      </c>
      <c r="B15" s="16" t="s">
        <v>76</v>
      </c>
      <c r="C15" s="16" t="s">
        <v>77</v>
      </c>
      <c r="D15" s="16" t="n">
        <v>5.27</v>
      </c>
      <c r="E15" s="16" t="s">
        <v>78</v>
      </c>
      <c r="F15" s="16" t="s">
        <v>79</v>
      </c>
    </row>
    <row r="16" customFormat="false" ht="16.5" hidden="false" customHeight="true" outlineLevel="0" collapsed="false">
      <c r="A16" s="13" t="s">
        <v>80</v>
      </c>
      <c r="B16" s="14"/>
      <c r="C16" s="14"/>
      <c r="D16" s="14"/>
      <c r="E16" s="14"/>
      <c r="F16" s="14"/>
    </row>
    <row r="17" customFormat="false" ht="16.5" hidden="false" customHeight="true" outlineLevel="0" collapsed="false">
      <c r="A17" s="15" t="s">
        <v>81</v>
      </c>
      <c r="B17" s="16" t="s">
        <v>82</v>
      </c>
      <c r="C17" s="16" t="s">
        <v>83</v>
      </c>
      <c r="D17" s="16" t="n">
        <v>1</v>
      </c>
      <c r="E17" s="16" t="s">
        <v>11</v>
      </c>
      <c r="F17" s="16" t="s">
        <v>11</v>
      </c>
    </row>
    <row r="18" customFormat="false" ht="16.5" hidden="false" customHeight="true" outlineLevel="0" collapsed="false">
      <c r="A18" s="15" t="s">
        <v>84</v>
      </c>
      <c r="B18" s="16" t="s">
        <v>85</v>
      </c>
      <c r="C18" s="16" t="s">
        <v>48</v>
      </c>
      <c r="D18" s="16" t="n">
        <v>3.31</v>
      </c>
      <c r="E18" s="16" t="s">
        <v>86</v>
      </c>
      <c r="F18" s="16" t="s">
        <v>87</v>
      </c>
    </row>
    <row r="19" customFormat="false" ht="16.5" hidden="false" customHeight="true" outlineLevel="0" collapsed="false">
      <c r="A19" s="13" t="s">
        <v>88</v>
      </c>
      <c r="B19" s="14"/>
      <c r="C19" s="14"/>
      <c r="D19" s="14"/>
      <c r="E19" s="14"/>
      <c r="F19" s="14"/>
    </row>
    <row r="20" customFormat="false" ht="16.5" hidden="false" customHeight="true" outlineLevel="0" collapsed="false">
      <c r="A20" s="15" t="s">
        <v>89</v>
      </c>
      <c r="B20" s="16" t="s">
        <v>90</v>
      </c>
      <c r="C20" s="16" t="s">
        <v>91</v>
      </c>
      <c r="D20" s="16" t="n">
        <v>1</v>
      </c>
      <c r="E20" s="16" t="s">
        <v>11</v>
      </c>
      <c r="F20" s="16" t="s">
        <v>11</v>
      </c>
    </row>
    <row r="21" customFormat="false" ht="16.5" hidden="false" customHeight="true" outlineLevel="0" collapsed="false">
      <c r="A21" s="15" t="s">
        <v>92</v>
      </c>
      <c r="B21" s="16" t="s">
        <v>93</v>
      </c>
      <c r="C21" s="16" t="s">
        <v>94</v>
      </c>
      <c r="D21" s="16" t="n">
        <v>0.2</v>
      </c>
      <c r="E21" s="16" t="s">
        <v>95</v>
      </c>
      <c r="F21" s="16" t="s">
        <v>96</v>
      </c>
    </row>
    <row r="22" customFormat="false" ht="16.5" hidden="false" customHeight="true" outlineLevel="0" collapsed="false">
      <c r="A22" s="13" t="s">
        <v>97</v>
      </c>
      <c r="B22" s="14"/>
      <c r="C22" s="14"/>
      <c r="D22" s="14"/>
      <c r="E22" s="14"/>
      <c r="F22" s="14"/>
    </row>
    <row r="23" customFormat="false" ht="16.5" hidden="false" customHeight="true" outlineLevel="0" collapsed="false">
      <c r="A23" s="15" t="s">
        <v>98</v>
      </c>
      <c r="B23" s="16" t="s">
        <v>99</v>
      </c>
      <c r="C23" s="16" t="s">
        <v>100</v>
      </c>
      <c r="D23" s="16" t="n">
        <v>1</v>
      </c>
      <c r="E23" s="16" t="s">
        <v>11</v>
      </c>
      <c r="F23" s="16" t="s">
        <v>11</v>
      </c>
    </row>
    <row r="24" customFormat="false" ht="16.5" hidden="false" customHeight="true" outlineLevel="0" collapsed="false">
      <c r="A24" s="15" t="s">
        <v>101</v>
      </c>
      <c r="B24" s="16" t="s">
        <v>102</v>
      </c>
      <c r="C24" s="16" t="s">
        <v>51</v>
      </c>
      <c r="D24" s="16" t="n">
        <v>27.5</v>
      </c>
      <c r="E24" s="16" t="s">
        <v>103</v>
      </c>
      <c r="F24" s="16" t="s">
        <v>96</v>
      </c>
    </row>
    <row r="25" customFormat="false" ht="13.5" hidden="false" customHeight="true" outlineLevel="0" collapsed="false">
      <c r="A25" s="10" t="s">
        <v>104</v>
      </c>
      <c r="B25" s="10"/>
      <c r="C25" s="10"/>
      <c r="D25" s="10"/>
      <c r="E25" s="10"/>
      <c r="F25" s="10"/>
    </row>
  </sheetData>
  <mergeCells count="2">
    <mergeCell ref="A1:E1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4.75" hidden="false" customHeight="true" outlineLevel="0" collapsed="false">
      <c r="A1" s="1" t="s">
        <v>105</v>
      </c>
      <c r="B1" s="1"/>
      <c r="C1" s="1"/>
      <c r="D1" s="1"/>
      <c r="E1" s="1"/>
    </row>
    <row r="2" customFormat="false" ht="30" hidden="false" customHeight="true" outlineLevel="0" collapsed="false">
      <c r="A2" s="2" t="s">
        <v>30</v>
      </c>
      <c r="B2" s="2" t="s">
        <v>106</v>
      </c>
      <c r="C2" s="2" t="s">
        <v>32</v>
      </c>
      <c r="D2" s="2" t="s">
        <v>33</v>
      </c>
      <c r="E2" s="2" t="s">
        <v>34</v>
      </c>
      <c r="F2" s="2" t="s">
        <v>35</v>
      </c>
    </row>
    <row r="3" customFormat="false" ht="16.5" hidden="false" customHeight="true" outlineLevel="0" collapsed="false">
      <c r="A3" s="13" t="s">
        <v>36</v>
      </c>
      <c r="B3" s="14"/>
      <c r="C3" s="14"/>
      <c r="D3" s="14"/>
      <c r="E3" s="14"/>
      <c r="F3" s="14"/>
    </row>
    <row r="4" customFormat="false" ht="16.5" hidden="false" customHeight="true" outlineLevel="0" collapsed="false">
      <c r="A4" s="15" t="s">
        <v>37</v>
      </c>
      <c r="B4" s="16" t="s">
        <v>107</v>
      </c>
      <c r="C4" s="16" t="s">
        <v>39</v>
      </c>
      <c r="D4" s="16" t="n">
        <v>1</v>
      </c>
      <c r="E4" s="16" t="s">
        <v>11</v>
      </c>
      <c r="F4" s="16" t="s">
        <v>11</v>
      </c>
    </row>
    <row r="5" customFormat="false" ht="16.5" hidden="false" customHeight="true" outlineLevel="0" collapsed="false">
      <c r="A5" s="15" t="s">
        <v>40</v>
      </c>
      <c r="B5" s="16" t="s">
        <v>108</v>
      </c>
      <c r="C5" s="16" t="s">
        <v>42</v>
      </c>
      <c r="D5" s="16" t="n">
        <v>0.58</v>
      </c>
      <c r="E5" s="16" t="s">
        <v>109</v>
      </c>
      <c r="F5" s="16" t="s">
        <v>110</v>
      </c>
    </row>
    <row r="6" customFormat="false" ht="16.5" hidden="false" customHeight="true" outlineLevel="0" collapsed="false">
      <c r="A6" s="13" t="s">
        <v>45</v>
      </c>
      <c r="B6" s="14"/>
      <c r="C6" s="14"/>
      <c r="D6" s="14"/>
      <c r="E6" s="14"/>
      <c r="F6" s="14"/>
    </row>
    <row r="7" customFormat="false" ht="16.5" hidden="false" customHeight="true" outlineLevel="0" collapsed="false">
      <c r="A7" s="15" t="s">
        <v>46</v>
      </c>
      <c r="B7" s="16" t="s">
        <v>111</v>
      </c>
      <c r="C7" s="16" t="s">
        <v>48</v>
      </c>
      <c r="D7" s="16" t="n">
        <v>1</v>
      </c>
      <c r="E7" s="16" t="s">
        <v>11</v>
      </c>
      <c r="F7" s="16" t="s">
        <v>11</v>
      </c>
    </row>
    <row r="8" customFormat="false" ht="16.5" hidden="false" customHeight="true" outlineLevel="0" collapsed="false">
      <c r="A8" s="15" t="s">
        <v>49</v>
      </c>
      <c r="B8" s="16" t="s">
        <v>112</v>
      </c>
      <c r="C8" s="16" t="s">
        <v>51</v>
      </c>
      <c r="D8" s="16" t="n">
        <v>3.22</v>
      </c>
      <c r="E8" s="16" t="s">
        <v>113</v>
      </c>
      <c r="F8" s="16" t="s">
        <v>114</v>
      </c>
    </row>
    <row r="9" customFormat="false" ht="16.5" hidden="false" customHeight="true" outlineLevel="0" collapsed="false">
      <c r="A9" s="15" t="s">
        <v>54</v>
      </c>
      <c r="B9" s="16" t="s">
        <v>115</v>
      </c>
      <c r="C9" s="16" t="s">
        <v>56</v>
      </c>
      <c r="D9" s="16" t="n">
        <v>1.38</v>
      </c>
      <c r="E9" s="16" t="s">
        <v>116</v>
      </c>
      <c r="F9" s="16" t="s">
        <v>117</v>
      </c>
    </row>
    <row r="10" customFormat="false" ht="16.5" hidden="false" customHeight="true" outlineLevel="0" collapsed="false">
      <c r="A10" s="15" t="s">
        <v>59</v>
      </c>
      <c r="B10" s="16" t="s">
        <v>118</v>
      </c>
      <c r="C10" s="16" t="s">
        <v>56</v>
      </c>
      <c r="D10" s="16" t="n">
        <v>0.89</v>
      </c>
      <c r="E10" s="16" t="s">
        <v>119</v>
      </c>
      <c r="F10" s="16" t="s">
        <v>120</v>
      </c>
    </row>
    <row r="11" customFormat="false" ht="16.5" hidden="false" customHeight="true" outlineLevel="0" collapsed="false">
      <c r="A11" s="13" t="s">
        <v>63</v>
      </c>
      <c r="B11" s="14"/>
      <c r="C11" s="14"/>
      <c r="D11" s="14"/>
      <c r="E11" s="14"/>
      <c r="F11" s="14"/>
    </row>
    <row r="12" customFormat="false" ht="16.5" hidden="false" customHeight="true" outlineLevel="0" collapsed="false">
      <c r="A12" s="15" t="s">
        <v>64</v>
      </c>
      <c r="B12" s="16" t="s">
        <v>121</v>
      </c>
      <c r="C12" s="16" t="s">
        <v>48</v>
      </c>
      <c r="D12" s="16" t="n">
        <v>1</v>
      </c>
      <c r="E12" s="16" t="s">
        <v>11</v>
      </c>
      <c r="F12" s="16" t="s">
        <v>11</v>
      </c>
    </row>
    <row r="13" customFormat="false" ht="16.5" hidden="false" customHeight="true" outlineLevel="0" collapsed="false">
      <c r="A13" s="15" t="s">
        <v>66</v>
      </c>
      <c r="B13" s="16" t="s">
        <v>122</v>
      </c>
      <c r="C13" s="16" t="s">
        <v>39</v>
      </c>
      <c r="D13" s="16" t="n">
        <v>4.03</v>
      </c>
      <c r="E13" s="16" t="s">
        <v>123</v>
      </c>
      <c r="F13" s="16" t="s">
        <v>124</v>
      </c>
    </row>
    <row r="14" customFormat="false" ht="16.5" hidden="false" customHeight="true" outlineLevel="0" collapsed="false">
      <c r="A14" s="15" t="s">
        <v>70</v>
      </c>
      <c r="B14" s="16" t="s">
        <v>125</v>
      </c>
      <c r="C14" s="16" t="s">
        <v>72</v>
      </c>
      <c r="D14" s="16" t="n">
        <v>2.59</v>
      </c>
      <c r="E14" s="16" t="s">
        <v>126</v>
      </c>
      <c r="F14" s="16" t="s">
        <v>127</v>
      </c>
    </row>
    <row r="15" customFormat="false" ht="16.5" hidden="false" customHeight="true" outlineLevel="0" collapsed="false">
      <c r="A15" s="15" t="s">
        <v>75</v>
      </c>
      <c r="B15" s="16" t="s">
        <v>128</v>
      </c>
      <c r="C15" s="16" t="s">
        <v>77</v>
      </c>
      <c r="D15" s="16" t="n">
        <v>7.56</v>
      </c>
      <c r="E15" s="16" t="s">
        <v>129</v>
      </c>
      <c r="F15" s="16" t="s">
        <v>96</v>
      </c>
    </row>
    <row r="16" customFormat="false" ht="16.5" hidden="false" customHeight="true" outlineLevel="0" collapsed="false">
      <c r="A16" s="13" t="s">
        <v>80</v>
      </c>
      <c r="B16" s="14"/>
      <c r="C16" s="14"/>
      <c r="D16" s="14"/>
      <c r="E16" s="14"/>
      <c r="F16" s="14"/>
    </row>
    <row r="17" customFormat="false" ht="16.5" hidden="false" customHeight="true" outlineLevel="0" collapsed="false">
      <c r="A17" s="15" t="s">
        <v>81</v>
      </c>
      <c r="B17" s="16" t="s">
        <v>130</v>
      </c>
      <c r="C17" s="16" t="s">
        <v>83</v>
      </c>
      <c r="D17" s="16" t="n">
        <v>1</v>
      </c>
      <c r="E17" s="16" t="s">
        <v>11</v>
      </c>
      <c r="F17" s="16" t="s">
        <v>11</v>
      </c>
    </row>
    <row r="18" customFormat="false" ht="16.5" hidden="false" customHeight="true" outlineLevel="0" collapsed="false">
      <c r="A18" s="15" t="s">
        <v>84</v>
      </c>
      <c r="B18" s="16" t="s">
        <v>131</v>
      </c>
      <c r="C18" s="16" t="s">
        <v>48</v>
      </c>
      <c r="D18" s="16" t="n">
        <v>1.32</v>
      </c>
      <c r="E18" s="16" t="s">
        <v>132</v>
      </c>
      <c r="F18" s="16" t="s">
        <v>133</v>
      </c>
    </row>
    <row r="19" customFormat="false" ht="16.5" hidden="false" customHeight="true" outlineLevel="0" collapsed="false">
      <c r="A19" s="13" t="s">
        <v>88</v>
      </c>
      <c r="B19" s="14"/>
      <c r="C19" s="14"/>
      <c r="D19" s="14"/>
      <c r="E19" s="14"/>
      <c r="F19" s="14"/>
    </row>
    <row r="20" customFormat="false" ht="16.5" hidden="false" customHeight="true" outlineLevel="0" collapsed="false">
      <c r="A20" s="15" t="s">
        <v>89</v>
      </c>
      <c r="B20" s="16" t="s">
        <v>134</v>
      </c>
      <c r="C20" s="16" t="s">
        <v>91</v>
      </c>
      <c r="D20" s="16" t="n">
        <v>1</v>
      </c>
      <c r="E20" s="16" t="s">
        <v>11</v>
      </c>
      <c r="F20" s="16" t="s">
        <v>11</v>
      </c>
    </row>
    <row r="21" customFormat="false" ht="16.5" hidden="false" customHeight="true" outlineLevel="0" collapsed="false">
      <c r="A21" s="15" t="s">
        <v>92</v>
      </c>
      <c r="B21" s="16" t="s">
        <v>135</v>
      </c>
      <c r="C21" s="16" t="s">
        <v>94</v>
      </c>
      <c r="D21" s="16" t="n">
        <v>1.03</v>
      </c>
      <c r="E21" s="16" t="s">
        <v>136</v>
      </c>
      <c r="F21" s="16" t="s">
        <v>137</v>
      </c>
    </row>
    <row r="22" customFormat="false" ht="16.5" hidden="false" customHeight="true" outlineLevel="0" collapsed="false">
      <c r="A22" s="13" t="s">
        <v>97</v>
      </c>
      <c r="B22" s="14"/>
      <c r="C22" s="14"/>
      <c r="D22" s="14"/>
      <c r="E22" s="14"/>
      <c r="F22" s="14"/>
    </row>
    <row r="23" customFormat="false" ht="16.5" hidden="false" customHeight="true" outlineLevel="0" collapsed="false">
      <c r="A23" s="15" t="s">
        <v>98</v>
      </c>
      <c r="B23" s="16" t="s">
        <v>138</v>
      </c>
      <c r="C23" s="16" t="s">
        <v>100</v>
      </c>
      <c r="D23" s="16" t="n">
        <v>1</v>
      </c>
      <c r="E23" s="16" t="s">
        <v>11</v>
      </c>
      <c r="F23" s="16" t="s">
        <v>11</v>
      </c>
    </row>
    <row r="24" customFormat="false" ht="16.5" hidden="false" customHeight="true" outlineLevel="0" collapsed="false">
      <c r="A24" s="15" t="s">
        <v>101</v>
      </c>
      <c r="B24" s="16" t="s">
        <v>139</v>
      </c>
      <c r="C24" s="16" t="s">
        <v>51</v>
      </c>
      <c r="D24" s="16" t="n">
        <v>4.94</v>
      </c>
      <c r="E24" s="16" t="s">
        <v>140</v>
      </c>
      <c r="F24" s="16" t="s">
        <v>53</v>
      </c>
    </row>
    <row r="25" customFormat="false" ht="13.5" hidden="false" customHeight="true" outlineLevel="0" collapsed="false">
      <c r="A25" s="10" t="s">
        <v>141</v>
      </c>
      <c r="B25" s="10"/>
      <c r="C25" s="10"/>
      <c r="D25" s="10"/>
      <c r="E25" s="10"/>
      <c r="F25" s="10"/>
    </row>
  </sheetData>
  <mergeCells count="2">
    <mergeCell ref="A1:E1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4.75" hidden="false" customHeight="true" outlineLevel="0" collapsed="false">
      <c r="A1" s="1" t="s">
        <v>142</v>
      </c>
      <c r="B1" s="1"/>
      <c r="C1" s="1"/>
      <c r="D1" s="1"/>
    </row>
    <row r="2" customFormat="false" ht="30" hidden="false" customHeight="true" outlineLevel="0" collapsed="false">
      <c r="A2" s="2" t="s">
        <v>30</v>
      </c>
      <c r="B2" s="2" t="s">
        <v>33</v>
      </c>
      <c r="C2" s="2" t="s">
        <v>34</v>
      </c>
      <c r="D2" s="2" t="s">
        <v>35</v>
      </c>
    </row>
    <row r="3" customFormat="false" ht="16.5" hidden="false" customHeight="true" outlineLevel="0" collapsed="false">
      <c r="A3" s="13" t="s">
        <v>36</v>
      </c>
      <c r="B3" s="14"/>
      <c r="C3" s="14"/>
      <c r="D3" s="14"/>
    </row>
    <row r="4" customFormat="false" ht="16.5" hidden="false" customHeight="true" outlineLevel="0" collapsed="false">
      <c r="A4" s="15" t="s">
        <v>37</v>
      </c>
      <c r="B4" s="16" t="n">
        <v>1</v>
      </c>
      <c r="C4" s="16" t="s">
        <v>11</v>
      </c>
      <c r="D4" s="16" t="s">
        <v>11</v>
      </c>
    </row>
    <row r="5" customFormat="false" ht="16.5" hidden="false" customHeight="true" outlineLevel="0" collapsed="false">
      <c r="A5" s="15" t="s">
        <v>40</v>
      </c>
      <c r="B5" s="16" t="n">
        <v>0.38</v>
      </c>
      <c r="C5" s="16" t="s">
        <v>143</v>
      </c>
      <c r="D5" s="16" t="s">
        <v>144</v>
      </c>
    </row>
    <row r="6" customFormat="false" ht="16.5" hidden="false" customHeight="true" outlineLevel="0" collapsed="false">
      <c r="A6" s="13" t="s">
        <v>45</v>
      </c>
      <c r="B6" s="14"/>
      <c r="C6" s="14"/>
      <c r="D6" s="14"/>
    </row>
    <row r="7" customFormat="false" ht="16.5" hidden="false" customHeight="true" outlineLevel="0" collapsed="false">
      <c r="A7" s="15" t="s">
        <v>46</v>
      </c>
      <c r="B7" s="16" t="n">
        <v>1</v>
      </c>
      <c r="C7" s="16" t="s">
        <v>11</v>
      </c>
      <c r="D7" s="16" t="s">
        <v>11</v>
      </c>
    </row>
    <row r="8" customFormat="false" ht="16.5" hidden="false" customHeight="true" outlineLevel="0" collapsed="false">
      <c r="A8" s="15" t="s">
        <v>49</v>
      </c>
      <c r="B8" s="16" t="n">
        <v>0.6</v>
      </c>
      <c r="C8" s="16" t="s">
        <v>145</v>
      </c>
      <c r="D8" s="16" t="s">
        <v>146</v>
      </c>
    </row>
    <row r="9" customFormat="false" ht="16.5" hidden="false" customHeight="true" outlineLevel="0" collapsed="false">
      <c r="A9" s="15" t="s">
        <v>54</v>
      </c>
      <c r="B9" s="16" t="n">
        <v>0.65</v>
      </c>
      <c r="C9" s="16" t="s">
        <v>147</v>
      </c>
      <c r="D9" s="16" t="s">
        <v>148</v>
      </c>
    </row>
    <row r="10" customFormat="false" ht="16.5" hidden="false" customHeight="true" outlineLevel="0" collapsed="false">
      <c r="A10" s="15" t="s">
        <v>59</v>
      </c>
      <c r="B10" s="16" t="n">
        <v>0.21</v>
      </c>
      <c r="C10" s="16" t="s">
        <v>149</v>
      </c>
      <c r="D10" s="16" t="s">
        <v>150</v>
      </c>
    </row>
    <row r="11" customFormat="false" ht="16.5" hidden="false" customHeight="true" outlineLevel="0" collapsed="false">
      <c r="A11" s="13" t="s">
        <v>63</v>
      </c>
      <c r="B11" s="14"/>
      <c r="C11" s="14"/>
      <c r="D11" s="14"/>
    </row>
    <row r="12" customFormat="false" ht="16.5" hidden="false" customHeight="true" outlineLevel="0" collapsed="false">
      <c r="A12" s="15" t="s">
        <v>64</v>
      </c>
      <c r="B12" s="16" t="n">
        <v>1</v>
      </c>
      <c r="C12" s="16" t="s">
        <v>11</v>
      </c>
      <c r="D12" s="16" t="s">
        <v>11</v>
      </c>
    </row>
    <row r="13" customFormat="false" ht="16.5" hidden="false" customHeight="true" outlineLevel="0" collapsed="false">
      <c r="A13" s="15" t="s">
        <v>66</v>
      </c>
      <c r="B13" s="16" t="n">
        <v>2.45</v>
      </c>
      <c r="C13" s="16" t="s">
        <v>151</v>
      </c>
      <c r="D13" s="16" t="s">
        <v>152</v>
      </c>
    </row>
    <row r="14" customFormat="false" ht="16.5" hidden="false" customHeight="true" outlineLevel="0" collapsed="false">
      <c r="A14" s="15" t="s">
        <v>70</v>
      </c>
      <c r="B14" s="16" t="n">
        <v>0.95</v>
      </c>
      <c r="C14" s="16" t="s">
        <v>153</v>
      </c>
      <c r="D14" s="16" t="s">
        <v>154</v>
      </c>
    </row>
    <row r="15" customFormat="false" ht="16.5" hidden="false" customHeight="true" outlineLevel="0" collapsed="false">
      <c r="A15" s="15" t="s">
        <v>75</v>
      </c>
      <c r="B15" s="16" t="n">
        <v>2.05</v>
      </c>
      <c r="C15" s="16" t="s">
        <v>155</v>
      </c>
      <c r="D15" s="16" t="s">
        <v>156</v>
      </c>
    </row>
    <row r="16" customFormat="false" ht="16.5" hidden="false" customHeight="true" outlineLevel="0" collapsed="false">
      <c r="A16" s="13" t="s">
        <v>80</v>
      </c>
      <c r="B16" s="14"/>
      <c r="C16" s="14"/>
      <c r="D16" s="14"/>
    </row>
    <row r="17" customFormat="false" ht="16.5" hidden="false" customHeight="true" outlineLevel="0" collapsed="false">
      <c r="A17" s="15" t="s">
        <v>81</v>
      </c>
      <c r="B17" s="16" t="n">
        <v>1</v>
      </c>
      <c r="C17" s="16" t="s">
        <v>11</v>
      </c>
      <c r="D17" s="16" t="s">
        <v>11</v>
      </c>
    </row>
    <row r="18" customFormat="false" ht="16.5" hidden="false" customHeight="true" outlineLevel="0" collapsed="false">
      <c r="A18" s="15" t="s">
        <v>84</v>
      </c>
      <c r="B18" s="16" t="n">
        <v>12.42</v>
      </c>
      <c r="C18" s="16" t="s">
        <v>157</v>
      </c>
      <c r="D18" s="16" t="s">
        <v>158</v>
      </c>
    </row>
    <row r="19" customFormat="false" ht="16.5" hidden="false" customHeight="true" outlineLevel="0" collapsed="false">
      <c r="A19" s="13" t="s">
        <v>88</v>
      </c>
      <c r="B19" s="14"/>
      <c r="C19" s="14"/>
      <c r="D19" s="14"/>
    </row>
    <row r="20" customFormat="false" ht="16.5" hidden="false" customHeight="true" outlineLevel="0" collapsed="false">
      <c r="A20" s="15" t="s">
        <v>89</v>
      </c>
      <c r="B20" s="16" t="n">
        <v>1</v>
      </c>
      <c r="C20" s="16" t="s">
        <v>11</v>
      </c>
      <c r="D20" s="16" t="s">
        <v>11</v>
      </c>
    </row>
    <row r="21" customFormat="false" ht="16.5" hidden="false" customHeight="true" outlineLevel="0" collapsed="false">
      <c r="A21" s="15" t="s">
        <v>92</v>
      </c>
      <c r="B21" s="16" t="n">
        <v>0.09</v>
      </c>
      <c r="C21" s="16" t="s">
        <v>159</v>
      </c>
      <c r="D21" s="16" t="s">
        <v>160</v>
      </c>
    </row>
    <row r="22" customFormat="false" ht="16.5" hidden="false" customHeight="true" outlineLevel="0" collapsed="false">
      <c r="A22" s="13" t="s">
        <v>97</v>
      </c>
      <c r="B22" s="14"/>
      <c r="C22" s="14"/>
      <c r="D22" s="14"/>
    </row>
    <row r="23" customFormat="false" ht="16.5" hidden="false" customHeight="true" outlineLevel="0" collapsed="false">
      <c r="A23" s="15" t="s">
        <v>98</v>
      </c>
      <c r="B23" s="16" t="n">
        <v>1</v>
      </c>
      <c r="C23" s="16" t="s">
        <v>11</v>
      </c>
      <c r="D23" s="16" t="s">
        <v>11</v>
      </c>
    </row>
    <row r="24" customFormat="false" ht="16.5" hidden="false" customHeight="true" outlineLevel="0" collapsed="false">
      <c r="A24" s="15" t="s">
        <v>101</v>
      </c>
      <c r="B24" s="16" t="n">
        <v>47.45</v>
      </c>
      <c r="C24" s="16" t="s">
        <v>161</v>
      </c>
      <c r="D24" s="16" t="s">
        <v>162</v>
      </c>
    </row>
    <row r="25" customFormat="false" ht="13.5" hidden="false" customHeight="true" outlineLevel="0" collapsed="false">
      <c r="A25" s="10" t="s">
        <v>163</v>
      </c>
      <c r="B25" s="10"/>
      <c r="C25" s="10"/>
      <c r="D25" s="10"/>
    </row>
  </sheetData>
  <mergeCells count="2">
    <mergeCell ref="A1:D1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4.75" hidden="false" customHeight="true" outlineLevel="0" collapsed="false">
      <c r="A1" s="1" t="s">
        <v>164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2" t="s">
        <v>30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</row>
    <row r="3" customFormat="false" ht="16.5" hidden="false" customHeight="true" outlineLevel="0" collapsed="false">
      <c r="A3" s="13" t="s">
        <v>36</v>
      </c>
      <c r="B3" s="14"/>
      <c r="C3" s="14"/>
      <c r="D3" s="14"/>
      <c r="E3" s="14"/>
      <c r="F3" s="14"/>
    </row>
    <row r="4" customFormat="false" ht="16.5" hidden="false" customHeight="true" outlineLevel="0" collapsed="false">
      <c r="A4" s="15" t="s">
        <v>37</v>
      </c>
      <c r="B4" s="16" t="s">
        <v>170</v>
      </c>
      <c r="C4" s="16" t="s">
        <v>171</v>
      </c>
      <c r="D4" s="16" t="s">
        <v>172</v>
      </c>
      <c r="E4" s="16" t="s">
        <v>173</v>
      </c>
      <c r="F4" s="16" t="s">
        <v>174</v>
      </c>
    </row>
    <row r="5" customFormat="false" ht="16.5" hidden="false" customHeight="true" outlineLevel="0" collapsed="false">
      <c r="A5" s="15" t="s">
        <v>40</v>
      </c>
      <c r="B5" s="16" t="s">
        <v>175</v>
      </c>
      <c r="C5" s="16" t="s">
        <v>176</v>
      </c>
      <c r="D5" s="16" t="s">
        <v>177</v>
      </c>
      <c r="E5" s="16" t="s">
        <v>178</v>
      </c>
      <c r="F5" s="16"/>
    </row>
    <row r="6" customFormat="false" ht="16.5" hidden="false" customHeight="true" outlineLevel="0" collapsed="false">
      <c r="A6" s="13" t="s">
        <v>45</v>
      </c>
      <c r="B6" s="14"/>
      <c r="C6" s="14"/>
      <c r="D6" s="14"/>
      <c r="E6" s="14"/>
      <c r="F6" s="14"/>
    </row>
    <row r="7" customFormat="false" ht="16.5" hidden="false" customHeight="true" outlineLevel="0" collapsed="false">
      <c r="A7" s="15" t="s">
        <v>46</v>
      </c>
      <c r="B7" s="16" t="s">
        <v>179</v>
      </c>
      <c r="C7" s="16" t="s">
        <v>180</v>
      </c>
      <c r="D7" s="16" t="s">
        <v>181</v>
      </c>
      <c r="E7" s="16" t="s">
        <v>182</v>
      </c>
      <c r="F7" s="16" t="s">
        <v>183</v>
      </c>
    </row>
    <row r="8" customFormat="false" ht="16.5" hidden="false" customHeight="true" outlineLevel="0" collapsed="false">
      <c r="A8" s="15" t="s">
        <v>49</v>
      </c>
      <c r="B8" s="16" t="s">
        <v>184</v>
      </c>
      <c r="C8" s="16" t="s">
        <v>185</v>
      </c>
      <c r="D8" s="16" t="s">
        <v>186</v>
      </c>
      <c r="E8" s="16" t="s">
        <v>187</v>
      </c>
      <c r="F8" s="16"/>
    </row>
    <row r="9" customFormat="false" ht="16.5" hidden="false" customHeight="true" outlineLevel="0" collapsed="false">
      <c r="A9" s="15" t="s">
        <v>54</v>
      </c>
      <c r="B9" s="16" t="s">
        <v>188</v>
      </c>
      <c r="C9" s="16" t="s">
        <v>189</v>
      </c>
      <c r="D9" s="16" t="s">
        <v>190</v>
      </c>
      <c r="E9" s="16" t="s">
        <v>191</v>
      </c>
      <c r="F9" s="16"/>
    </row>
    <row r="10" customFormat="false" ht="16.5" hidden="false" customHeight="true" outlineLevel="0" collapsed="false">
      <c r="A10" s="15" t="s">
        <v>59</v>
      </c>
      <c r="B10" s="16" t="s">
        <v>192</v>
      </c>
      <c r="C10" s="16" t="s">
        <v>193</v>
      </c>
      <c r="D10" s="16" t="s">
        <v>194</v>
      </c>
      <c r="E10" s="16" t="s">
        <v>195</v>
      </c>
      <c r="F10" s="16"/>
    </row>
    <row r="11" customFormat="false" ht="16.5" hidden="false" customHeight="true" outlineLevel="0" collapsed="false">
      <c r="A11" s="13" t="s">
        <v>63</v>
      </c>
      <c r="B11" s="14"/>
      <c r="C11" s="14"/>
      <c r="D11" s="14"/>
      <c r="E11" s="14"/>
      <c r="F11" s="14"/>
    </row>
    <row r="12" customFormat="false" ht="16.5" hidden="false" customHeight="true" outlineLevel="0" collapsed="false">
      <c r="A12" s="15" t="s">
        <v>64</v>
      </c>
      <c r="B12" s="16" t="s">
        <v>196</v>
      </c>
      <c r="C12" s="16" t="s">
        <v>197</v>
      </c>
      <c r="D12" s="16" t="s">
        <v>198</v>
      </c>
      <c r="E12" s="16" t="s">
        <v>199</v>
      </c>
      <c r="F12" s="16" t="s">
        <v>183</v>
      </c>
    </row>
    <row r="13" customFormat="false" ht="16.5" hidden="false" customHeight="true" outlineLevel="0" collapsed="false">
      <c r="A13" s="15" t="s">
        <v>66</v>
      </c>
      <c r="B13" s="16" t="s">
        <v>200</v>
      </c>
      <c r="C13" s="16" t="s">
        <v>201</v>
      </c>
      <c r="D13" s="16" t="s">
        <v>202</v>
      </c>
      <c r="E13" s="16" t="s">
        <v>203</v>
      </c>
      <c r="F13" s="16"/>
    </row>
    <row r="14" customFormat="false" ht="16.5" hidden="false" customHeight="true" outlineLevel="0" collapsed="false">
      <c r="A14" s="15" t="s">
        <v>70</v>
      </c>
      <c r="B14" s="16" t="s">
        <v>204</v>
      </c>
      <c r="C14" s="16" t="s">
        <v>205</v>
      </c>
      <c r="D14" s="16" t="s">
        <v>206</v>
      </c>
      <c r="E14" s="16" t="s">
        <v>207</v>
      </c>
      <c r="F14" s="16"/>
    </row>
    <row r="15" customFormat="false" ht="16.5" hidden="false" customHeight="true" outlineLevel="0" collapsed="false">
      <c r="A15" s="15" t="s">
        <v>75</v>
      </c>
      <c r="B15" s="16" t="s">
        <v>208</v>
      </c>
      <c r="C15" s="16" t="s">
        <v>209</v>
      </c>
      <c r="D15" s="16" t="s">
        <v>209</v>
      </c>
      <c r="E15" s="16" t="s">
        <v>210</v>
      </c>
      <c r="F15" s="16"/>
    </row>
    <row r="16" customFormat="false" ht="16.5" hidden="false" customHeight="true" outlineLevel="0" collapsed="false">
      <c r="A16" s="13" t="s">
        <v>211</v>
      </c>
      <c r="B16" s="14"/>
      <c r="C16" s="14"/>
      <c r="D16" s="14"/>
      <c r="E16" s="14"/>
      <c r="F16" s="14"/>
    </row>
    <row r="17" customFormat="false" ht="16.5" hidden="false" customHeight="true" outlineLevel="0" collapsed="false">
      <c r="A17" s="15" t="s">
        <v>212</v>
      </c>
      <c r="B17" s="16" t="s">
        <v>213</v>
      </c>
      <c r="C17" s="16" t="s">
        <v>214</v>
      </c>
      <c r="D17" s="16" t="s">
        <v>215</v>
      </c>
      <c r="E17" s="16" t="s">
        <v>216</v>
      </c>
      <c r="F17" s="16" t="s">
        <v>96</v>
      </c>
    </row>
    <row r="18" customFormat="false" ht="16.5" hidden="false" customHeight="true" outlineLevel="0" collapsed="false">
      <c r="A18" s="15" t="s">
        <v>217</v>
      </c>
      <c r="B18" s="16" t="s">
        <v>218</v>
      </c>
      <c r="C18" s="16" t="s">
        <v>219</v>
      </c>
      <c r="D18" s="16" t="s">
        <v>220</v>
      </c>
      <c r="E18" s="16" t="s">
        <v>221</v>
      </c>
      <c r="F18" s="16"/>
    </row>
    <row r="19" customFormat="false" ht="16.5" hidden="false" customHeight="true" outlineLevel="0" collapsed="false">
      <c r="A19" s="15" t="s">
        <v>222</v>
      </c>
      <c r="B19" s="16" t="s">
        <v>223</v>
      </c>
      <c r="C19" s="16" t="s">
        <v>224</v>
      </c>
      <c r="D19" s="16" t="s">
        <v>225</v>
      </c>
      <c r="E19" s="16" t="s">
        <v>214</v>
      </c>
      <c r="F19" s="16"/>
    </row>
    <row r="20" customFormat="false" ht="16.5" hidden="false" customHeight="true" outlineLevel="0" collapsed="false">
      <c r="A20" s="13" t="s">
        <v>226</v>
      </c>
      <c r="B20" s="14"/>
      <c r="C20" s="14"/>
      <c r="D20" s="14"/>
      <c r="E20" s="14"/>
      <c r="F20" s="14"/>
    </row>
    <row r="21" customFormat="false" ht="16.5" hidden="false" customHeight="true" outlineLevel="0" collapsed="false">
      <c r="A21" s="15" t="s">
        <v>84</v>
      </c>
      <c r="B21" s="16" t="s">
        <v>227</v>
      </c>
      <c r="C21" s="16" t="s">
        <v>228</v>
      </c>
      <c r="D21" s="16" t="s">
        <v>229</v>
      </c>
      <c r="E21" s="16" t="s">
        <v>230</v>
      </c>
      <c r="F21" s="16" t="s">
        <v>231</v>
      </c>
    </row>
    <row r="22" customFormat="false" ht="16.5" hidden="false" customHeight="true" outlineLevel="0" collapsed="false">
      <c r="A22" s="15" t="s">
        <v>81</v>
      </c>
      <c r="B22" s="16" t="s">
        <v>232</v>
      </c>
      <c r="C22" s="16" t="s">
        <v>233</v>
      </c>
      <c r="D22" s="16" t="s">
        <v>234</v>
      </c>
      <c r="E22" s="16" t="s">
        <v>235</v>
      </c>
      <c r="F22" s="16"/>
    </row>
    <row r="23" customFormat="false" ht="16.5" hidden="false" customHeight="true" outlineLevel="0" collapsed="false">
      <c r="A23" s="13" t="s">
        <v>88</v>
      </c>
      <c r="B23" s="14"/>
      <c r="C23" s="14"/>
      <c r="D23" s="14"/>
      <c r="E23" s="14"/>
      <c r="F23" s="14"/>
    </row>
    <row r="24" customFormat="false" ht="16.5" hidden="false" customHeight="true" outlineLevel="0" collapsed="false">
      <c r="A24" s="15" t="s">
        <v>89</v>
      </c>
      <c r="B24" s="16" t="s">
        <v>236</v>
      </c>
      <c r="C24" s="16" t="s">
        <v>237</v>
      </c>
      <c r="D24" s="16" t="s">
        <v>238</v>
      </c>
      <c r="E24" s="16" t="s">
        <v>239</v>
      </c>
      <c r="F24" s="16" t="s">
        <v>96</v>
      </c>
    </row>
    <row r="25" customFormat="false" ht="16.5" hidden="false" customHeight="true" outlineLevel="0" collapsed="false">
      <c r="A25" s="15" t="s">
        <v>92</v>
      </c>
      <c r="B25" s="16" t="s">
        <v>240</v>
      </c>
      <c r="C25" s="16" t="s">
        <v>241</v>
      </c>
      <c r="D25" s="16" t="s">
        <v>242</v>
      </c>
      <c r="E25" s="16" t="s">
        <v>243</v>
      </c>
      <c r="F25" s="16"/>
    </row>
    <row r="26" customFormat="false" ht="16.5" hidden="false" customHeight="true" outlineLevel="0" collapsed="false">
      <c r="A26" s="13" t="s">
        <v>97</v>
      </c>
      <c r="B26" s="14"/>
      <c r="C26" s="14"/>
      <c r="D26" s="14"/>
      <c r="E26" s="14"/>
      <c r="F26" s="14"/>
    </row>
    <row r="27" customFormat="false" ht="16.5" hidden="false" customHeight="true" outlineLevel="0" collapsed="false">
      <c r="A27" s="15" t="s">
        <v>98</v>
      </c>
      <c r="B27" s="16" t="s">
        <v>244</v>
      </c>
      <c r="C27" s="16" t="s">
        <v>245</v>
      </c>
      <c r="D27" s="16" t="s">
        <v>246</v>
      </c>
      <c r="E27" s="16" t="s">
        <v>245</v>
      </c>
      <c r="F27" s="16" t="s">
        <v>96</v>
      </c>
    </row>
    <row r="28" customFormat="false" ht="16.5" hidden="false" customHeight="true" outlineLevel="0" collapsed="false">
      <c r="A28" s="15" t="s">
        <v>101</v>
      </c>
      <c r="B28" s="16" t="s">
        <v>247</v>
      </c>
      <c r="C28" s="16" t="s">
        <v>248</v>
      </c>
      <c r="D28" s="16" t="s">
        <v>249</v>
      </c>
      <c r="E28" s="16" t="s">
        <v>250</v>
      </c>
      <c r="F28" s="16"/>
    </row>
    <row r="29" customFormat="false" ht="13.5" hidden="false" customHeight="true" outlineLevel="0" collapsed="false">
      <c r="A29" s="10" t="s">
        <v>251</v>
      </c>
      <c r="B29" s="10"/>
      <c r="C29" s="10"/>
      <c r="D29" s="10"/>
      <c r="E29" s="10"/>
      <c r="F29" s="10"/>
    </row>
  </sheetData>
  <mergeCells count="2">
    <mergeCell ref="A1:F1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2026-05-31T11:58:30Z</dcterms:created>
  <dc:creator>openpyxl</dc:creator>
  <dc:description/>
  <dc:language>en-US</dc:language>
  <cp:lastModifiedBy/>
  <dcterms:modified xsi:type="dcterms:W3CDTF">2026-05-31T11:58:31Z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