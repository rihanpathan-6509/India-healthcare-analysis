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F_India_Summary" sheetId="1" state="visible" r:id="rId3"/>
    <sheet name="Detection_Gap_2024" sheetId="2" state="visible" r:id="rId4"/>
    <sheet name="Diabetic_Burden_Growt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<sst xmlns="http://schemas.openxmlformats.org/spreadsheetml/2006/main" count="64" uniqueCount="47">
  <si>
    <t xml:space="preserve">IDF Diabetes Atlas 2025 (11th Edition) — India Key Estimates</t>
  </si>
  <si>
    <t xml:space="preserve">🟢 Green = Confirmed in PDF  |  🟡 Yellow = Not explicit in PDF (calculated/flagged)  |  Source: IDF Diabetes Atlas 11th Ed. 2025, diabetesatlas.org</t>
  </si>
  <si>
    <t xml:space="preserve">Metric</t>
  </si>
  <si>
    <t xml:space="preserve">Unit</t>
  </si>
  <si>
    <t xml:space="preserve">2000</t>
  </si>
  <si>
    <t xml:space="preserve">2011</t>
  </si>
  <si>
    <t xml:space="preserve">2024</t>
  </si>
  <si>
    <t xml:space="preserve">2050 (proj)</t>
  </si>
  <si>
    <t xml:space="preserve">Verified?</t>
  </si>
  <si>
    <t xml:space="preserve">Notes</t>
  </si>
  <si>
    <t xml:space="preserve">Total Diabetics</t>
  </si>
  <si>
    <t xml:space="preserve">millions</t>
  </si>
  <si>
    <t xml:space="preserve">✓ Confirmed</t>
  </si>
  <si>
    <t xml:space="preserve">2024 &amp; 2050: Table 3.4. 2000/2011: prior editions.</t>
  </si>
  <si>
    <t xml:space="preserve">Undiagnosed Diabetics</t>
  </si>
  <si>
    <t xml:space="preserve">Table 3.11: 38.6M, 43.0%.</t>
  </si>
  <si>
    <t xml:space="preserve">Undiagnosed Proportion</t>
  </si>
  <si>
    <t xml:space="preserve">%</t>
  </si>
  <si>
    <t xml:space="preserve">Country table p.113: 43.0%.</t>
  </si>
  <si>
    <t xml:space="preserve">IGT (Impaired Glucose Tol.)</t>
  </si>
  <si>
    <t xml:space="preserve">⚠ Flag/Verify</t>
  </si>
  <si>
    <t xml:space="preserve">India absolute NOT in PDF; SEA region total=145.7M (2024). Verify at diabetesatlas.org.</t>
  </si>
  <si>
    <t xml:space="preserve">IFG (Impaired Fasting Gluc.)</t>
  </si>
  <si>
    <t xml:space="preserve">India absolute NOT in PDF; SEA region total=129.4M (2024). Verify at diabetesatlas.org.</t>
  </si>
  <si>
    <t xml:space="preserve">Diabetes Deaths</t>
  </si>
  <si>
    <t xml:space="preserve">count</t>
  </si>
  <si>
    <t xml:space="preserve">Country table p.114: 334,922.2 (2024). 2011 from prior edition.</t>
  </si>
  <si>
    <t xml:space="preserve">Health Expenditure/Person</t>
  </si>
  <si>
    <t xml:space="preserve">USD</t>
  </si>
  <si>
    <t xml:space="preserve">Country table p.114: USD 109.5 (2024).</t>
  </si>
  <si>
    <t xml:space="preserve">Total Health Expenditure</t>
  </si>
  <si>
    <t xml:space="preserve">USD billions</t>
  </si>
  <si>
    <t xml:space="preserve">Country table p.114: USD 9,834,399,121 ≈ 9.83B.</t>
  </si>
  <si>
    <t xml:space="preserve">Adult Population (20–79)</t>
  </si>
  <si>
    <t xml:space="preserve">2024 derived: 89,826.9t / 9.5% = 945.5M. Notebook had 947.4M. Verify online.</t>
  </si>
  <si>
    <t xml:space="preserve">T1D — All Ages</t>
  </si>
  <si>
    <t xml:space="preserve">Country table p.114: 940,840.</t>
  </si>
  <si>
    <t xml:space="preserve">Category</t>
  </si>
  <si>
    <t xml:space="preserve">Millions</t>
  </si>
  <si>
    <t xml:space="preserve">Percentage</t>
  </si>
  <si>
    <t xml:space="preserve">Diagnosed</t>
  </si>
  <si>
    <t xml:space="preserve">Undiagnosed</t>
  </si>
  <si>
    <t xml:space="preserve">Total</t>
  </si>
  <si>
    <t xml:space="preserve">100%</t>
  </si>
  <si>
    <t xml:space="preserve">Year</t>
  </si>
  <si>
    <t xml:space="preserve">Total_Diabetics_M</t>
  </si>
  <si>
    <t xml:space="preserve">Is_Projection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</si>
</sst>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5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0" hidden="false" customHeight="true" outlineLevel="0" collapsed="false">
      <c r="A5" s="4" t="s">
        <v>10</v>
      </c>
      <c r="B5" s="5" t="s">
        <v>11</v>
      </c>
      <c r="C5" s="5" t="n">
        <v>32.7</v>
      </c>
      <c r="D5" s="5" t="n">
        <v>61.3</v>
      </c>
      <c r="E5" s="5" t="n">
        <v>89.8</v>
      </c>
      <c r="F5" s="5" t="n">
        <v>156.7</v>
      </c>
      <c r="G5" s="5" t="s">
        <v>12</v>
      </c>
      <c r="H5" s="4" t="s">
        <v>13</v>
      </c>
    </row>
    <row r="6" customFormat="false" ht="30" hidden="false" customHeight="true" outlineLevel="0" collapsed="false">
      <c r="A6" s="4" t="s">
        <v>14</v>
      </c>
      <c r="B6" s="5" t="s">
        <v>11</v>
      </c>
      <c r="C6" s="5"/>
      <c r="D6" s="5"/>
      <c r="E6" s="5" t="n">
        <v>38.6</v>
      </c>
      <c r="F6" s="5"/>
      <c r="G6" s="5" t="s">
        <v>12</v>
      </c>
      <c r="H6" s="4" t="s">
        <v>15</v>
      </c>
    </row>
    <row r="7" customFormat="false" ht="30" hidden="false" customHeight="true" outlineLevel="0" collapsed="false">
      <c r="A7" s="4" t="s">
        <v>16</v>
      </c>
      <c r="B7" s="5" t="s">
        <v>17</v>
      </c>
      <c r="C7" s="5"/>
      <c r="D7" s="5"/>
      <c r="E7" s="5" t="n">
        <v>43</v>
      </c>
      <c r="F7" s="5"/>
      <c r="G7" s="5" t="s">
        <v>12</v>
      </c>
      <c r="H7" s="4" t="s">
        <v>18</v>
      </c>
    </row>
    <row r="8" customFormat="false" ht="30" hidden="false" customHeight="true" outlineLevel="0" collapsed="false">
      <c r="A8" s="6" t="s">
        <v>19</v>
      </c>
      <c r="B8" s="7" t="s">
        <v>11</v>
      </c>
      <c r="C8" s="7"/>
      <c r="D8" s="7" t="n">
        <v>20.5</v>
      </c>
      <c r="E8" s="7" t="n">
        <v>127.3</v>
      </c>
      <c r="F8" s="7" t="n">
        <v>179.3</v>
      </c>
      <c r="G8" s="7" t="s">
        <v>20</v>
      </c>
      <c r="H8" s="6" t="s">
        <v>21</v>
      </c>
    </row>
    <row r="9" customFormat="false" ht="30" hidden="false" customHeight="true" outlineLevel="0" collapsed="false">
      <c r="A9" s="6" t="s">
        <v>22</v>
      </c>
      <c r="B9" s="7" t="s">
        <v>11</v>
      </c>
      <c r="C9" s="7"/>
      <c r="D9" s="7"/>
      <c r="E9" s="7" t="n">
        <v>107.8</v>
      </c>
      <c r="F9" s="7" t="n">
        <v>149</v>
      </c>
      <c r="G9" s="7" t="s">
        <v>20</v>
      </c>
      <c r="H9" s="6" t="s">
        <v>23</v>
      </c>
    </row>
    <row r="10" customFormat="false" ht="30" hidden="false" customHeight="true" outlineLevel="0" collapsed="false">
      <c r="A10" s="4" t="s">
        <v>24</v>
      </c>
      <c r="B10" s="5" t="s">
        <v>25</v>
      </c>
      <c r="C10" s="5"/>
      <c r="D10" s="5" t="n">
        <v>983203</v>
      </c>
      <c r="E10" s="5" t="n">
        <v>334922</v>
      </c>
      <c r="F10" s="5"/>
      <c r="G10" s="5" t="s">
        <v>12</v>
      </c>
      <c r="H10" s="4" t="s">
        <v>26</v>
      </c>
    </row>
    <row r="11" customFormat="false" ht="30" hidden="false" customHeight="true" outlineLevel="0" collapsed="false">
      <c r="A11" s="4" t="s">
        <v>27</v>
      </c>
      <c r="B11" s="5" t="s">
        <v>28</v>
      </c>
      <c r="C11" s="5"/>
      <c r="D11" s="5" t="n">
        <v>68</v>
      </c>
      <c r="E11" s="5" t="n">
        <v>109.5</v>
      </c>
      <c r="F11" s="5" t="n">
        <v>97.4</v>
      </c>
      <c r="G11" s="5" t="s">
        <v>12</v>
      </c>
      <c r="H11" s="4" t="s">
        <v>29</v>
      </c>
    </row>
    <row r="12" customFormat="false" ht="30" hidden="false" customHeight="true" outlineLevel="0" collapsed="false">
      <c r="A12" s="4" t="s">
        <v>30</v>
      </c>
      <c r="B12" s="5" t="s">
        <v>31</v>
      </c>
      <c r="C12" s="5"/>
      <c r="D12" s="5"/>
      <c r="E12" s="5" t="n">
        <v>9.83</v>
      </c>
      <c r="F12" s="5"/>
      <c r="G12" s="5" t="s">
        <v>12</v>
      </c>
      <c r="H12" s="4" t="s">
        <v>32</v>
      </c>
    </row>
    <row r="13" customFormat="false" ht="30" hidden="false" customHeight="true" outlineLevel="0" collapsed="false">
      <c r="A13" s="6" t="s">
        <v>33</v>
      </c>
      <c r="B13" s="7" t="s">
        <v>11</v>
      </c>
      <c r="C13" s="7" t="n">
        <v>567.7</v>
      </c>
      <c r="D13" s="7" t="n">
        <v>737</v>
      </c>
      <c r="E13" s="7" t="n">
        <v>945.5</v>
      </c>
      <c r="F13" s="7" t="n">
        <v>1205.8</v>
      </c>
      <c r="G13" s="7" t="s">
        <v>20</v>
      </c>
      <c r="H13" s="6" t="s">
        <v>34</v>
      </c>
    </row>
    <row r="14" customFormat="false" ht="30" hidden="false" customHeight="true" outlineLevel="0" collapsed="false">
      <c r="A14" s="4" t="s">
        <v>35</v>
      </c>
      <c r="B14" s="5" t="s">
        <v>25</v>
      </c>
      <c r="C14" s="5"/>
      <c r="D14" s="5"/>
      <c r="E14" s="5" t="n">
        <v>940840</v>
      </c>
      <c r="F14" s="5"/>
      <c r="G14" s="5" t="s">
        <v>12</v>
      </c>
      <c r="H14" s="4" t="s">
        <v>36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5" hidden="false" customHeight="false" outlineLevel="0" collapsed="false">
      <c r="A1" s="3" t="s">
        <v>37</v>
      </c>
      <c r="B1" s="3" t="s">
        <v>38</v>
      </c>
      <c r="C1" s="3" t="s">
        <v>39</v>
      </c>
    </row>
    <row r="2" customFormat="false" ht="15" hidden="false" customHeight="false" outlineLevel="0" collapsed="false">
      <c r="A2" s="8" t="s">
        <v>40</v>
      </c>
      <c r="B2" s="8" t="n">
        <f aca="false">IDF_India_Summary!E5 - IDF_India_Summary!E6</f>
        <v>51.2</v>
      </c>
      <c r="C2" s="8" t="str">
        <f aca="false">IDF_India_Summary!E5 - IDF_India_Summary!E7&amp;"%"</f>
        <v>46.8%</v>
      </c>
    </row>
    <row r="3" customFormat="false" ht="15" hidden="false" customHeight="false" outlineLevel="0" collapsed="false">
      <c r="A3" s="8" t="s">
        <v>41</v>
      </c>
      <c r="B3" s="8" t="n">
        <f aca="false">IDF_India_Summary!E6</f>
        <v>38.6</v>
      </c>
      <c r="C3" s="8" t="str">
        <f aca="false">IDF_India_Summary!E7&amp;"%"</f>
        <v>43%</v>
      </c>
    </row>
    <row r="4" customFormat="false" ht="15" hidden="false" customHeight="false" outlineLevel="0" collapsed="false">
      <c r="A4" s="8" t="s">
        <v>42</v>
      </c>
      <c r="B4" s="8" t="n">
        <f aca="false">IDF_India_Summary!E5</f>
        <v>89.8</v>
      </c>
      <c r="C4" s="8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5" hidden="false" customHeight="false" outlineLevel="0" collapsed="false">
      <c r="A1" s="3" t="s">
        <v>44</v>
      </c>
      <c r="B1" s="3" t="s">
        <v>45</v>
      </c>
      <c r="C1" s="3" t="s">
        <v>46</v>
      </c>
    </row>
    <row r="2" customFormat="false" ht="15" hidden="false" customHeight="false" outlineLevel="0" collapsed="false">
      <c r="A2" s="8" t="s">
        <v>4</v>
      </c>
      <c r="B2" s="8" t="n">
        <f aca="false">IDF_India_Summary!C5</f>
        <v>32.7</v>
      </c>
      <c r="C2" s="9" t="b">
        <f aca="false">FALSE()</f>
        <v>0</v>
      </c>
    </row>
    <row r="3" customFormat="false" ht="15" hidden="false" customHeight="false" outlineLevel="0" collapsed="false">
      <c r="A3" s="8" t="s">
        <v>5</v>
      </c>
      <c r="B3" s="8" t="n">
        <f aca="false">IDF_India_Summary!D5</f>
        <v>61.3</v>
      </c>
      <c r="C3" s="9" t="b">
        <f aca="false">FALSE()</f>
        <v>0</v>
      </c>
    </row>
    <row r="4" customFormat="false" ht="15" hidden="false" customHeight="false" outlineLevel="0" collapsed="false">
      <c r="A4" s="8" t="s">
        <v>6</v>
      </c>
      <c r="B4" s="8" t="n">
        <f aca="false">IDF_India_Summary!E5</f>
        <v>89.8</v>
      </c>
      <c r="C4" s="9" t="b">
        <f aca="false">FALSE()</f>
        <v>0</v>
      </c>
    </row>
    <row r="5" customFormat="false" ht="15" hidden="false" customHeight="false" outlineLevel="0" collapsed="false">
      <c r="A5" s="8" t="s">
        <v>7</v>
      </c>
      <c r="B5" s="8" t="n">
        <f aca="false">IDF_India_Summary!F5</f>
        <v>156.7</v>
      </c>
      <c r="C5" s="9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2026-05-31T07:37:34Z</dcterms:created>
  <dc:creator>openpyxl</dc:creator>
  <dc:description/>
  <dc:language>en-US</dc:language>
  <cp:lastModifiedBy/>
  <dcterms:modified xsi:type="dcterms:W3CDTF">2026-05-31T07:37:34Z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