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S_2020-21" sheetId="1" state="visible" r:id="rId3"/>
    <sheet name="RHS_2021-22" sheetId="2" state="visible" r:id="rId4"/>
    <sheet name="Trend_2005_to_202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<sst xmlns="http://schemas.openxmlformats.org/spreadsheetml/2006/main" count="110" uniqueCount="64">
  <si>
    <t xml:space="preserve">Rural Health Statistics 2020-21 — Key Infrastructure &amp; Workforce Data</t>
  </si>
  <si>
    <t xml:space="preserve">Source: Ministry of Health &amp; Family Welfare, Government of India | Data as on 31st March, 2021</t>
  </si>
  <si>
    <t xml:space="preserve">A. National Summary — Facilities &amp; Workforce (Rural)</t>
  </si>
  <si>
    <t xml:space="preserve">Metric</t>
  </si>
  <si>
    <t xml:space="preserve">Value</t>
  </si>
  <si>
    <t xml:space="preserve">Year</t>
  </si>
  <si>
    <t xml:space="preserve">Change from 2005</t>
  </si>
  <si>
    <t xml:space="preserve">Notes</t>
  </si>
  <si>
    <t xml:space="preserve">Sub Centres (Rural)</t>
  </si>
  <si>
    <t xml:space="preserve">+10,075 from 2005</t>
  </si>
  <si>
    <t xml:space="preserve">RHS Table 6</t>
  </si>
  <si>
    <t xml:space="preserve">PHCs (Rural)</t>
  </si>
  <si>
    <t xml:space="preserve">+1,904 from 2005</t>
  </si>
  <si>
    <t xml:space="preserve">CHCs (Rural)</t>
  </si>
  <si>
    <t xml:space="preserve">+2,135 from 2005</t>
  </si>
  <si>
    <t xml:space="preserve">Allopathic Doctors at PHCs</t>
  </si>
  <si>
    <t xml:space="preserve">+11,408 from 2005 (+56.2%)</t>
  </si>
  <si>
    <t xml:space="preserve">RHS Table 16</t>
  </si>
  <si>
    <t xml:space="preserve">Total Specialists at CHCs</t>
  </si>
  <si>
    <t xml:space="preserve">+855 from 2005</t>
  </si>
  <si>
    <t xml:space="preserve">RHS Table 23</t>
  </si>
  <si>
    <t xml:space="preserve">Specialists Required (CHC norm)</t>
  </si>
  <si>
    <t xml:space="preserve">5481 CHCs × 4 specialists</t>
  </si>
  <si>
    <t xml:space="preserve">IPHS Norm</t>
  </si>
  <si>
    <t xml:space="preserve">Specialist Shortfall</t>
  </si>
  <si>
    <t xml:space="preserve">79.9% shortfall</t>
  </si>
  <si>
    <t xml:space="preserve">B. Specialist Shortfall by Type at Rural CHCs (2021)</t>
  </si>
  <si>
    <t xml:space="preserve">Specialist Type</t>
  </si>
  <si>
    <t xml:space="preserve">Required</t>
  </si>
  <si>
    <t xml:space="preserve">In Position</t>
  </si>
  <si>
    <t xml:space="preserve">Shortfall</t>
  </si>
  <si>
    <t xml:space="preserve">Shortfall %</t>
  </si>
  <si>
    <t xml:space="preserve">Surgeons</t>
  </si>
  <si>
    <t xml:space="preserve">Obstetricians &amp; Gynaecologists</t>
  </si>
  <si>
    <t xml:space="preserve">Physicians</t>
  </si>
  <si>
    <t xml:space="preserve">Paediatricians</t>
  </si>
  <si>
    <t xml:space="preserve">TOTAL (4 Types)</t>
  </si>
  <si>
    <t xml:space="preserve">79.9%</t>
  </si>
  <si>
    <t xml:space="preserve">Rural Health Statistics 2021-22 — Key Infrastructure &amp; Workforce Data</t>
  </si>
  <si>
    <t xml:space="preserve">Source: Ministry of Health &amp; Family Welfare, Government of India | Data as on 31st March, 2022</t>
  </si>
  <si>
    <t xml:space="preserve">+11,909 from 2005</t>
  </si>
  <si>
    <t xml:space="preserve">+1,699 from 2005</t>
  </si>
  <si>
    <t xml:space="preserve">+2,134 from 2005</t>
  </si>
  <si>
    <t xml:space="preserve">+10,332 from 2005 (+50.9%)</t>
  </si>
  <si>
    <t xml:space="preserve">+935 from 2005</t>
  </si>
  <si>
    <t xml:space="preserve">5480 CHCs × 4 specialists</t>
  </si>
  <si>
    <t xml:space="preserve">79.5% shortfall</t>
  </si>
  <si>
    <t xml:space="preserve">B. Specialist Shortfall by Type at Rural CHCs (2022)</t>
  </si>
  <si>
    <t xml:space="preserve">79.5%</t>
  </si>
  <si>
    <t xml:space="preserve">Rural Healthcare Infrastructure Trend — 2005 to 2022 (All-India, Rural Only)</t>
  </si>
  <si>
    <t xml:space="preserve">Source: RHS 2005, 2019, 2020 | RHS 2020-21 | RHS 2021-22 — Ministry of Health &amp; Family Welfare, GoI</t>
  </si>
  <si>
    <t xml:space="preserve">2005</t>
  </si>
  <si>
    <t xml:space="preserve">2019</t>
  </si>
  <si>
    <t xml:space="preserve">2020</t>
  </si>
  <si>
    <t xml:space="preserve">2021</t>
  </si>
  <si>
    <t xml:space="preserve">2022</t>
  </si>
  <si>
    <t xml:space="preserve">Change 2005→2022</t>
  </si>
  <si>
    <t xml:space="preserve">% Change</t>
  </si>
  <si>
    <t xml:space="preserve">Sub Centres</t>
  </si>
  <si>
    <t xml:space="preserve">Doctors at PHC</t>
  </si>
  <si>
    <t xml:space="preserve">Specialists at CHC</t>
  </si>
  <si>
    <t xml:space="preserve">-</t>
  </si>
  <si>
    <t xml:space="preserve">N/A</t>
  </si>
  <si>
    <t xml:space="preserve">81.2%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</si>
</sst>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A53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457B9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535C"/>
        <bgColor rgb="FF2D3047"/>
      </patternFill>
    </fill>
    <fill>
      <patternFill patternType="solid">
        <fgColor rgb="FFF0F7F7"/>
        <bgColor rgb="FFEEF4F8"/>
      </patternFill>
    </fill>
    <fill>
      <patternFill patternType="solid">
        <fgColor rgb="FFFFF3CD"/>
        <bgColor rgb="FFF5F5F5"/>
      </patternFill>
    </fill>
    <fill>
      <patternFill patternType="solid">
        <fgColor rgb="FF457B9D"/>
        <bgColor rgb="FF339966"/>
      </patternFill>
    </fill>
    <fill>
      <patternFill patternType="solid">
        <fgColor rgb="FFEEF4F8"/>
        <bgColor rgb="FFF0F7F7"/>
      </patternFill>
    </fill>
    <fill>
      <patternFill patternType="solid">
        <fgColor rgb="FF2D3047"/>
        <bgColor rgb="FF333300"/>
      </patternFill>
    </fill>
    <fill>
      <patternFill patternType="solid">
        <fgColor rgb="FFF5F5F5"/>
        <bgColor rgb="FFF0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E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7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57B9D"/>
      <rgbColor rgb="FF969696"/>
      <rgbColor rgb="FF1A535C"/>
      <rgbColor rgb="FF339966"/>
      <rgbColor rgb="FF003300"/>
      <rgbColor rgb="FF333300"/>
      <rgbColor rgb="FF993300"/>
      <rgbColor rgb="FF993366"/>
      <rgbColor rgb="FF555555"/>
      <rgbColor rgb="FF2D30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6" t="n">
        <v>156101</v>
      </c>
      <c r="C6" s="6" t="n">
        <v>2021</v>
      </c>
      <c r="D6" s="6" t="s">
        <v>9</v>
      </c>
      <c r="E6" s="6" t="s">
        <v>10</v>
      </c>
    </row>
    <row r="7" customFormat="false" ht="15" hidden="false" customHeight="true" outlineLevel="0" collapsed="false">
      <c r="A7" s="7" t="s">
        <v>11</v>
      </c>
      <c r="B7" s="7" t="n">
        <v>25140</v>
      </c>
      <c r="C7" s="7" t="n">
        <v>2021</v>
      </c>
      <c r="D7" s="7" t="s">
        <v>12</v>
      </c>
      <c r="E7" s="7" t="s">
        <v>10</v>
      </c>
    </row>
    <row r="8" customFormat="false" ht="15" hidden="false" customHeight="true" outlineLevel="0" collapsed="false">
      <c r="A8" s="6" t="s">
        <v>13</v>
      </c>
      <c r="B8" s="6" t="n">
        <v>5481</v>
      </c>
      <c r="C8" s="6" t="n">
        <v>2021</v>
      </c>
      <c r="D8" s="6" t="s">
        <v>14</v>
      </c>
      <c r="E8" s="6" t="s">
        <v>10</v>
      </c>
    </row>
    <row r="9" customFormat="false" ht="15" hidden="false" customHeight="true" outlineLevel="0" collapsed="false">
      <c r="A9" s="7" t="s">
        <v>15</v>
      </c>
      <c r="B9" s="7" t="n">
        <v>31716</v>
      </c>
      <c r="C9" s="7" t="n">
        <v>2021</v>
      </c>
      <c r="D9" s="7" t="s">
        <v>16</v>
      </c>
      <c r="E9" s="7" t="s">
        <v>17</v>
      </c>
    </row>
    <row r="10" customFormat="false" ht="15" hidden="false" customHeight="true" outlineLevel="0" collapsed="false">
      <c r="A10" s="6" t="s">
        <v>18</v>
      </c>
      <c r="B10" s="6" t="n">
        <v>4405</v>
      </c>
      <c r="C10" s="6" t="n">
        <v>2021</v>
      </c>
      <c r="D10" s="6" t="s">
        <v>19</v>
      </c>
      <c r="E10" s="6" t="s">
        <v>20</v>
      </c>
    </row>
    <row r="11" customFormat="false" ht="15" hidden="false" customHeight="true" outlineLevel="0" collapsed="false">
      <c r="A11" s="7" t="s">
        <v>21</v>
      </c>
      <c r="B11" s="7" t="n">
        <v>21924</v>
      </c>
      <c r="C11" s="7" t="n">
        <v>2021</v>
      </c>
      <c r="D11" s="7" t="s">
        <v>22</v>
      </c>
      <c r="E11" s="7" t="s">
        <v>23</v>
      </c>
    </row>
    <row r="12" customFormat="false" ht="15" hidden="false" customHeight="true" outlineLevel="0" collapsed="false">
      <c r="A12" s="6" t="s">
        <v>24</v>
      </c>
      <c r="B12" s="6" t="n">
        <v>17519</v>
      </c>
      <c r="C12" s="6" t="n">
        <v>2021</v>
      </c>
      <c r="D12" s="6" t="s">
        <v>25</v>
      </c>
      <c r="E12" s="6" t="s">
        <v>20</v>
      </c>
    </row>
    <row r="15" customFormat="false" ht="15" hidden="false" customHeight="true" outlineLevel="0" collapsed="false">
      <c r="A15" s="4" t="s">
        <v>26</v>
      </c>
      <c r="B15" s="4"/>
      <c r="C15" s="4"/>
      <c r="D15" s="4"/>
      <c r="E15" s="4"/>
      <c r="F15" s="4"/>
      <c r="G15" s="4"/>
      <c r="H15" s="4"/>
    </row>
    <row r="16" customFormat="false" ht="26.25" hidden="false" customHeight="true" outlineLevel="0" collapsed="false">
      <c r="A16" s="5" t="s">
        <v>27</v>
      </c>
      <c r="B16" s="5" t="s">
        <v>28</v>
      </c>
      <c r="C16" s="5" t="s">
        <v>29</v>
      </c>
      <c r="D16" s="5" t="s">
        <v>30</v>
      </c>
      <c r="E16" s="5" t="s">
        <v>31</v>
      </c>
    </row>
    <row r="17" customFormat="false" ht="15" hidden="false" customHeight="true" outlineLevel="0" collapsed="false">
      <c r="A17" s="7" t="s">
        <v>32</v>
      </c>
      <c r="B17" s="7" t="n">
        <v>5481</v>
      </c>
      <c r="C17" s="7" t="n">
        <v>923</v>
      </c>
      <c r="D17" s="7" t="n">
        <f aca="false">B17-C17</f>
        <v>4558</v>
      </c>
      <c r="E17" s="7" t="str">
        <f aca="false">TEXT(D17/B17*100,"0.0")&amp;"%"</f>
        <v>83.2%</v>
      </c>
    </row>
    <row r="18" customFormat="false" ht="15" hidden="false" customHeight="true" outlineLevel="0" collapsed="false">
      <c r="A18" s="6" t="s">
        <v>33</v>
      </c>
      <c r="B18" s="6" t="n">
        <v>5481</v>
      </c>
      <c r="C18" s="6" t="n">
        <v>1433</v>
      </c>
      <c r="D18" s="6" t="n">
        <f aca="false">B18-C18</f>
        <v>4048</v>
      </c>
      <c r="E18" s="6" t="str">
        <f aca="false">TEXT(D18/B18*100,"0.0")&amp;"%"</f>
        <v>73.9%</v>
      </c>
    </row>
    <row r="19" customFormat="false" ht="15" hidden="false" customHeight="true" outlineLevel="0" collapsed="false">
      <c r="A19" s="7" t="s">
        <v>34</v>
      </c>
      <c r="B19" s="7" t="n">
        <v>5481</v>
      </c>
      <c r="C19" s="7" t="n">
        <v>975</v>
      </c>
      <c r="D19" s="7" t="n">
        <f aca="false">B19-C19</f>
        <v>4506</v>
      </c>
      <c r="E19" s="7" t="str">
        <f aca="false">TEXT(D19/B19*100,"0.0")&amp;"%"</f>
        <v>82.2%</v>
      </c>
    </row>
    <row r="20" customFormat="false" ht="15" hidden="false" customHeight="true" outlineLevel="0" collapsed="false">
      <c r="A20" s="6" t="s">
        <v>35</v>
      </c>
      <c r="B20" s="6" t="n">
        <v>5481</v>
      </c>
      <c r="C20" s="6" t="n">
        <v>1074</v>
      </c>
      <c r="D20" s="6" t="n">
        <f aca="false">B20-C20</f>
        <v>4407</v>
      </c>
      <c r="E20" s="6" t="str">
        <f aca="false">TEXT(D20/B20*100,"0.0")&amp;"%"</f>
        <v>80.4%</v>
      </c>
    </row>
    <row r="21" customFormat="false" ht="15" hidden="false" customHeight="true" outlineLevel="0" collapsed="false">
      <c r="A21" s="8" t="s">
        <v>36</v>
      </c>
      <c r="B21" s="8" t="n">
        <v>21924</v>
      </c>
      <c r="C21" s="8" t="n">
        <v>4405</v>
      </c>
      <c r="D21" s="8" t="n">
        <v>17519</v>
      </c>
      <c r="E21" s="8" t="s">
        <v>37</v>
      </c>
    </row>
  </sheetData>
  <mergeCells count="4">
    <mergeCell ref="A1:H1"/>
    <mergeCell ref="A2:H2"/>
    <mergeCell ref="A4:H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9" t="s">
        <v>38</v>
      </c>
      <c r="B1" s="9"/>
      <c r="C1" s="9"/>
      <c r="D1" s="9"/>
      <c r="E1" s="9"/>
      <c r="F1" s="9"/>
      <c r="G1" s="9"/>
      <c r="H1" s="9"/>
    </row>
    <row r="2" customFormat="false" ht="15.75" hidden="false" customHeight="true" outlineLevel="0" collapsed="false">
      <c r="A2" s="3" t="s">
        <v>39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0" t="s">
        <v>2</v>
      </c>
      <c r="B4" s="10"/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</row>
    <row r="6" customFormat="false" ht="15" hidden="false" customHeight="true" outlineLevel="0" collapsed="false">
      <c r="A6" s="12" t="s">
        <v>8</v>
      </c>
      <c r="B6" s="12" t="n">
        <v>157935</v>
      </c>
      <c r="C6" s="12" t="n">
        <v>2022</v>
      </c>
      <c r="D6" s="12" t="s">
        <v>40</v>
      </c>
      <c r="E6" s="12" t="s">
        <v>10</v>
      </c>
    </row>
    <row r="7" customFormat="false" ht="15" hidden="false" customHeight="true" outlineLevel="0" collapsed="false">
      <c r="A7" s="7" t="s">
        <v>11</v>
      </c>
      <c r="B7" s="7" t="n">
        <v>24935</v>
      </c>
      <c r="C7" s="7" t="n">
        <v>2022</v>
      </c>
      <c r="D7" s="7" t="s">
        <v>41</v>
      </c>
      <c r="E7" s="7" t="s">
        <v>10</v>
      </c>
    </row>
    <row r="8" customFormat="false" ht="15" hidden="false" customHeight="true" outlineLevel="0" collapsed="false">
      <c r="A8" s="12" t="s">
        <v>13</v>
      </c>
      <c r="B8" s="12" t="n">
        <v>5480</v>
      </c>
      <c r="C8" s="12" t="n">
        <v>2022</v>
      </c>
      <c r="D8" s="12" t="s">
        <v>42</v>
      </c>
      <c r="E8" s="12" t="s">
        <v>10</v>
      </c>
    </row>
    <row r="9" customFormat="false" ht="15" hidden="false" customHeight="true" outlineLevel="0" collapsed="false">
      <c r="A9" s="7" t="s">
        <v>15</v>
      </c>
      <c r="B9" s="7" t="n">
        <v>30640</v>
      </c>
      <c r="C9" s="7" t="n">
        <v>2022</v>
      </c>
      <c r="D9" s="7" t="s">
        <v>43</v>
      </c>
      <c r="E9" s="7" t="s">
        <v>17</v>
      </c>
    </row>
    <row r="10" customFormat="false" ht="15" hidden="false" customHeight="true" outlineLevel="0" collapsed="false">
      <c r="A10" s="12" t="s">
        <v>18</v>
      </c>
      <c r="B10" s="12" t="n">
        <v>4485</v>
      </c>
      <c r="C10" s="12" t="n">
        <v>2022</v>
      </c>
      <c r="D10" s="12" t="s">
        <v>44</v>
      </c>
      <c r="E10" s="12" t="s">
        <v>20</v>
      </c>
    </row>
    <row r="11" customFormat="false" ht="15" hidden="false" customHeight="true" outlineLevel="0" collapsed="false">
      <c r="A11" s="7" t="s">
        <v>21</v>
      </c>
      <c r="B11" s="7" t="n">
        <v>21920</v>
      </c>
      <c r="C11" s="7" t="n">
        <v>2022</v>
      </c>
      <c r="D11" s="7" t="s">
        <v>45</v>
      </c>
      <c r="E11" s="7" t="s">
        <v>23</v>
      </c>
    </row>
    <row r="12" customFormat="false" ht="15" hidden="false" customHeight="true" outlineLevel="0" collapsed="false">
      <c r="A12" s="12" t="s">
        <v>24</v>
      </c>
      <c r="B12" s="12" t="n">
        <v>17435</v>
      </c>
      <c r="C12" s="12" t="n">
        <v>2022</v>
      </c>
      <c r="D12" s="12" t="s">
        <v>46</v>
      </c>
      <c r="E12" s="12" t="s">
        <v>20</v>
      </c>
    </row>
    <row r="15" customFormat="false" ht="15" hidden="false" customHeight="true" outlineLevel="0" collapsed="false">
      <c r="A15" s="10" t="s">
        <v>47</v>
      </c>
      <c r="B15" s="10"/>
      <c r="C15" s="10"/>
      <c r="D15" s="10"/>
      <c r="E15" s="10"/>
      <c r="F15" s="10"/>
      <c r="G15" s="10"/>
      <c r="H15" s="10"/>
    </row>
    <row r="16" customFormat="false" ht="26.25" hidden="false" customHeight="true" outlineLevel="0" collapsed="false">
      <c r="A16" s="11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</row>
    <row r="17" customFormat="false" ht="15" hidden="false" customHeight="true" outlineLevel="0" collapsed="false">
      <c r="A17" s="7" t="s">
        <v>32</v>
      </c>
      <c r="B17" s="7" t="n">
        <v>5480</v>
      </c>
      <c r="C17" s="7" t="n">
        <v>920</v>
      </c>
      <c r="D17" s="7" t="n">
        <f aca="false">B17-C17</f>
        <v>4560</v>
      </c>
      <c r="E17" s="7" t="str">
        <f aca="false">TEXT(D17/B17*100,"0.0")&amp;"%"</f>
        <v>83.2%</v>
      </c>
    </row>
    <row r="18" customFormat="false" ht="15" hidden="false" customHeight="true" outlineLevel="0" collapsed="false">
      <c r="A18" s="12" t="s">
        <v>33</v>
      </c>
      <c r="B18" s="12" t="n">
        <v>5480</v>
      </c>
      <c r="C18" s="12" t="n">
        <v>1414</v>
      </c>
      <c r="D18" s="12" t="n">
        <f aca="false">B18-C18</f>
        <v>4066</v>
      </c>
      <c r="E18" s="12" t="str">
        <f aca="false">TEXT(D18/B18*100,"0.0")&amp;"%"</f>
        <v>74.2%</v>
      </c>
    </row>
    <row r="19" customFormat="false" ht="15" hidden="false" customHeight="true" outlineLevel="0" collapsed="false">
      <c r="A19" s="7" t="s">
        <v>34</v>
      </c>
      <c r="B19" s="7" t="n">
        <v>5480</v>
      </c>
      <c r="C19" s="7" t="n">
        <v>1145</v>
      </c>
      <c r="D19" s="7" t="n">
        <f aca="false">B19-C19</f>
        <v>4335</v>
      </c>
      <c r="E19" s="7" t="str">
        <f aca="false">TEXT(D19/B19*100,"0.0")&amp;"%"</f>
        <v>79.1%</v>
      </c>
    </row>
    <row r="20" customFormat="false" ht="15" hidden="false" customHeight="true" outlineLevel="0" collapsed="false">
      <c r="A20" s="12" t="s">
        <v>35</v>
      </c>
      <c r="B20" s="12" t="n">
        <v>5480</v>
      </c>
      <c r="C20" s="12" t="n">
        <v>1006</v>
      </c>
      <c r="D20" s="12" t="n">
        <f aca="false">B20-C20</f>
        <v>4474</v>
      </c>
      <c r="E20" s="12" t="str">
        <f aca="false">TEXT(D20/B20*100,"0.0")&amp;"%"</f>
        <v>81.6%</v>
      </c>
    </row>
    <row r="21" customFormat="false" ht="15" hidden="false" customHeight="true" outlineLevel="0" collapsed="false">
      <c r="A21" s="8" t="s">
        <v>36</v>
      </c>
      <c r="B21" s="8" t="n">
        <v>21920</v>
      </c>
      <c r="C21" s="8" t="n">
        <v>4485</v>
      </c>
      <c r="D21" s="8" t="n">
        <v>17435</v>
      </c>
      <c r="E21" s="8" t="s">
        <v>48</v>
      </c>
    </row>
  </sheetData>
  <mergeCells count="4">
    <mergeCell ref="A1:H1"/>
    <mergeCell ref="A2:H2"/>
    <mergeCell ref="A4:H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4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27.75" hidden="false" customHeight="true" outlineLevel="0" collapsed="false">
      <c r="A1" s="13" t="s">
        <v>49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3" t="s">
        <v>50</v>
      </c>
      <c r="B2" s="3"/>
      <c r="C2" s="3"/>
      <c r="D2" s="3"/>
      <c r="E2" s="3"/>
      <c r="F2" s="3"/>
      <c r="G2" s="3"/>
      <c r="H2" s="3"/>
    </row>
    <row r="4" customFormat="false" ht="26.25" hidden="false" customHeight="true" outlineLevel="0" collapsed="false">
      <c r="A4" s="14" t="s">
        <v>3</v>
      </c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</row>
    <row r="5" customFormat="false" ht="15" hidden="false" customHeight="true" outlineLevel="0" collapsed="false">
      <c r="A5" s="7" t="s">
        <v>58</v>
      </c>
      <c r="B5" s="7" t="n">
        <v>146026</v>
      </c>
      <c r="C5" s="7" t="n">
        <v>155404</v>
      </c>
      <c r="D5" s="7" t="n">
        <v>156101</v>
      </c>
      <c r="E5" s="7" t="n">
        <v>156101</v>
      </c>
      <c r="F5" s="7" t="n">
        <v>157935</v>
      </c>
      <c r="G5" s="7" t="n">
        <f aca="false">F5-B5</f>
        <v>11909</v>
      </c>
      <c r="H5" s="15" t="n">
        <f aca="false">(F5-B5)/B5</f>
        <v>0.0815539698409872</v>
      </c>
    </row>
    <row r="6" customFormat="false" ht="15" hidden="false" customHeight="true" outlineLevel="0" collapsed="false">
      <c r="A6" s="16" t="s">
        <v>11</v>
      </c>
      <c r="B6" s="16" t="n">
        <v>23236</v>
      </c>
      <c r="C6" s="16" t="n">
        <v>24918</v>
      </c>
      <c r="D6" s="16" t="n">
        <v>28702</v>
      </c>
      <c r="E6" s="16" t="n">
        <v>25140</v>
      </c>
      <c r="F6" s="16" t="n">
        <v>24935</v>
      </c>
      <c r="G6" s="7" t="n">
        <f aca="false">F6-B6</f>
        <v>1699</v>
      </c>
      <c r="H6" s="15" t="n">
        <f aca="false">(F6-B6)/B6</f>
        <v>0.0731192976415906</v>
      </c>
    </row>
    <row r="7" customFormat="false" ht="15" hidden="false" customHeight="true" outlineLevel="0" collapsed="false">
      <c r="A7" s="7" t="s">
        <v>13</v>
      </c>
      <c r="B7" s="7" t="n">
        <v>3346</v>
      </c>
      <c r="C7" s="7" t="n">
        <v>5183</v>
      </c>
      <c r="D7" s="7" t="n">
        <v>5895</v>
      </c>
      <c r="E7" s="7" t="n">
        <v>5481</v>
      </c>
      <c r="F7" s="7" t="n">
        <v>5480</v>
      </c>
      <c r="G7" s="7" t="n">
        <f aca="false">F7-B7</f>
        <v>2134</v>
      </c>
      <c r="H7" s="15" t="n">
        <f aca="false">(F7-B7)/B7</f>
        <v>0.637776449491931</v>
      </c>
    </row>
    <row r="8" customFormat="false" ht="15" hidden="false" customHeight="true" outlineLevel="0" collapsed="false">
      <c r="A8" s="16" t="s">
        <v>59</v>
      </c>
      <c r="B8" s="16" t="n">
        <v>20308</v>
      </c>
      <c r="C8" s="16" t="n">
        <v>27421</v>
      </c>
      <c r="D8" s="16" t="n">
        <v>30045</v>
      </c>
      <c r="E8" s="16" t="n">
        <v>31716</v>
      </c>
      <c r="F8" s="16" t="n">
        <v>30640</v>
      </c>
      <c r="G8" s="7" t="n">
        <f aca="false">F8-B8</f>
        <v>10332</v>
      </c>
      <c r="H8" s="15" t="n">
        <f aca="false">(F8-B8)/B8</f>
        <v>0.508765018711838</v>
      </c>
    </row>
    <row r="9" customFormat="false" ht="15" hidden="false" customHeight="true" outlineLevel="0" collapsed="false">
      <c r="A9" s="7" t="s">
        <v>60</v>
      </c>
      <c r="B9" s="7" t="n">
        <v>3550</v>
      </c>
      <c r="C9" s="7" t="n">
        <v>3960</v>
      </c>
      <c r="D9" s="7" t="n">
        <v>4405</v>
      </c>
      <c r="E9" s="7" t="n">
        <v>4405</v>
      </c>
      <c r="F9" s="7" t="n">
        <v>4485</v>
      </c>
      <c r="G9" s="7" t="n">
        <f aca="false">F9-B9</f>
        <v>935</v>
      </c>
      <c r="H9" s="15" t="n">
        <f aca="false">(F9-B9)/B9</f>
        <v>0.263380281690141</v>
      </c>
    </row>
    <row r="10" customFormat="false" ht="15" hidden="false" customHeight="true" outlineLevel="0" collapsed="false">
      <c r="A10" s="16" t="s">
        <v>24</v>
      </c>
      <c r="B10" s="16" t="s">
        <v>61</v>
      </c>
      <c r="C10" s="16" t="s">
        <v>61</v>
      </c>
      <c r="D10" s="16" t="n">
        <v>19175</v>
      </c>
      <c r="E10" s="16" t="n">
        <v>17519</v>
      </c>
      <c r="F10" s="16" t="n">
        <v>17435</v>
      </c>
      <c r="G10" s="7" t="s">
        <v>62</v>
      </c>
      <c r="H10" s="7" t="s">
        <v>62</v>
      </c>
    </row>
    <row r="11" customFormat="false" ht="15" hidden="false" customHeight="true" outlineLevel="0" collapsed="false">
      <c r="A11" s="7" t="s">
        <v>31</v>
      </c>
      <c r="B11" s="7" t="s">
        <v>61</v>
      </c>
      <c r="C11" s="7" t="s">
        <v>61</v>
      </c>
      <c r="D11" s="7" t="s">
        <v>63</v>
      </c>
      <c r="E11" s="7" t="s">
        <v>37</v>
      </c>
      <c r="F11" s="7" t="s">
        <v>48</v>
      </c>
      <c r="G11" s="7" t="s">
        <v>62</v>
      </c>
      <c r="H11" s="7" t="s">
        <v>62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2026-05-30T16:07:10Z</dcterms:created>
  <dc:creator>openpyxl</dc:creator>
  <dc:description/>
  <dc:language>en-US</dc:language>
  <cp:lastModifiedBy/>
  <dcterms:modified xsi:type="dcterms:W3CDTF">2026-06-01T07:25:02Z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